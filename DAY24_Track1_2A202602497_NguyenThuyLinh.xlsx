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9841abf1484037" /></Relationships>
</file>

<file path=xl/workbook.xml><?xml version="1.0" encoding="utf-8"?>
<x:workbook xmlns:x="http://schemas.openxmlformats.org/spreadsheetml/2006/main">
  <x:sheets>
    <x:sheet xmlns:r="http://schemas.openxmlformats.org/officeDocument/2006/relationships" name="0_Hướng dẫn" sheetId="1" r:id="Rf576d0c02caa4252"/>
    <x:sheet xmlns:r="http://schemas.openxmlformats.org/officeDocument/2006/relationships" name="0_Đầu vào" sheetId="2" r:id="R183b7c18a524451f"/>
    <x:sheet xmlns:r="http://schemas.openxmlformats.org/officeDocument/2006/relationships" name="A_Tài chính căn bản" sheetId="3" r:id="Rfbdd4563d3e54917"/>
    <x:sheet xmlns:r="http://schemas.openxmlformats.org/officeDocument/2006/relationships" name="1_Chi phí mỗi việc" sheetId="4" r:id="R19083e2404e241d1"/>
    <x:sheet xmlns:r="http://schemas.openxmlformats.org/officeDocument/2006/relationships" name="2_Định giá" sheetId="5" r:id="R9b722f338a754f8a"/>
    <x:sheet xmlns:r="http://schemas.openxmlformats.org/officeDocument/2006/relationships" name="3_Giả định" sheetId="6" r:id="Re5d9c239ea214296"/>
    <x:sheet xmlns:r="http://schemas.openxmlformats.org/officeDocument/2006/relationships" name="4_Chỉ số mỗi khách" sheetId="7" r:id="R84a491f5b7d649f3"/>
    <x:sheet xmlns:r="http://schemas.openxmlformats.org/officeDocument/2006/relationships" name="5_Dòng tiền &amp; hiệu quả" sheetId="8" r:id="R3fd6fd761e9c4bb4"/>
    <x:sheet xmlns:r="http://schemas.openxmlformats.org/officeDocument/2006/relationships" name="6_Hiệu quả nội bộ" sheetId="9" r:id="Re4cd4e241e9740a3"/>
    <x:sheet xmlns:r="http://schemas.openxmlformats.org/officeDocument/2006/relationships" name="7_Quyết định" sheetId="10" r:id="R066ffe69ab134085"/>
    <x:sheet xmlns:r="http://schemas.openxmlformats.org/officeDocument/2006/relationships" name="8_Thang điểm" sheetId="11" r:id="R0ca0a0e89eb24818"/>
    <x:sheet xmlns:r="http://schemas.openxmlformats.org/officeDocument/2006/relationships" name="9_Số tham khảo" sheetId="12" r:id="Re9db9102edfd4fdb"/>
  </x:sheets>
</x:workbook>
</file>

<file path=xl/sharedStrings.xml><?xml version="1.0" encoding="utf-8"?>
<x:sst xmlns:x="http://schemas.openxmlformats.org/spreadsheetml/2006/main">
  <x:si>
    <x:t xml:space="preserve">CS9 · Kinh tế sản phẩm AI: chi phí, định giá, hiệu quả đầu tư — File thực hành</x:t>
  </x:si>
  <x:si>
    <x:t xml:space="preserve">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x:t>
  </x:si>
  <x:si>
    <x:t xml:space="preserve">Ô tự kiểm tra: "Đạt" là ổn. "Xem lại", "Chưa đủ sốc" là câu hỏi để nhóm soát: sửa nếu nhập sai; nếu số đúng thì giữ nguyên và giải thích ở trang 7. Không chỉnh giả định chỉ để được "Đạt".</x:t>
  </x:si>
  <x:si>
    <x:t xml:space="preserve">Luật chơi: CHỈ điền vào ô màu VÀNG (một số ô vàng có sẵn số mặc định, sửa được). Ô màu XANH LÁ NHẠT là công thức, đã khóa. Cột "Gợi ý" chữ xám (trang 1, 3, 6) chỉ cách lấy số và giá trị của bản mẫu, không cần điền.</x:t>
  </x:si>
  <x:si>
    <x:t xml:space="preserve">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x:t>
  </x:si>
  <x:si>
    <x:t xml:space="preserve">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x:t>
  </x:si>
  <x:si>
    <x:t xml:space="preserve">Giá token: tra bảng giá chính thức của nhà cung cấp vào ngày làm bài, ghi tên mô hình và ngày tra. Tỷ giá: ghi nguồn và ngày. Trang 9 có sẵn một số số liệu đã kiểm chứng.</x:t>
  </x:si>
  <x:si>
    <x:t xml:space="preserve">Kịch bản xấu phải là cú sốc thật: tỷ lệ rời bỏ và chi phí có một khách tối thiểu gấp 1,5 lần kịch bản cơ sở (trang 3 tự kiểm tra).</x:t>
  </x:si>
  <x:si>
    <x:t xml:space="preserve">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x:t>
  </x:si>
  <x:si>
    <x:t xml:space="preserve">Tên file nộp: [Nhom]_CS9.xlsx · Nộp lên VLearn khi hết Nhiệm vụ 4.</x:t>
  </x:si>
  <x:si>
    <x:t xml:space="preserve">Nối hai buổi trước: mang phiếu bài tập 1 và bài về nhà một trang của Ngày 22 (định giá, kênh bán), và bảng theo dõi chỉ số của Ngày 23. Trang 0 chỉ chỗ dùng từng thứ.</x:t>
  </x:si>
  <x:si>
    <x:t xml:space="preserve">Nguồn tham khảo khung bài: AI in Action khóa 3 — Ngày 24 Mô hình tài chính (slide và sổ tay), Ngày 25 Định giá và đưa sản phẩm ra thị trường (Đàm Bá Quyền). File này được dựng lại cho khóa 4.</x:t>
  </x:si>
  <x:si>
    <x:t xml:space="preserve">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x:t>
  </x:si>
  <x:si>
    <x:t xml:space="preserve">Đơn vị tiền: trang A tính bằng TRIỆU đồng; từ trang 1 trở đi tính bằng ĐỒNG, riêng bảng độ nhạy ở trang 5 (dòng 56–68) ghi bằng triệu đồng.</x:t>
  </x:si>
  <x:si>
    <x:t xml:space="preserve">Chú thích màu:</x:t>
  </x:si>
  <x:si>
    <x:t xml:space="preserve">Ô điền giả định (không khóa)</x:t>
  </x:si>
  <x:si>
    <x:t xml:space="preserve">Ô công thức (tự tính, đã khóa)</x:t>
  </x:si>
  <x:si>
    <x:t xml:space="preserve">Chữ xám nghiêng ở cột Gợi ý: cách lấy số và giá trị bản mẫu (không cần điền)</x:t>
  </x:si>
  <x:si>
    <x:t xml:space="preserve">0 · Nhiệm vụ 0: gom đầu vào — có thì tận dụng, chưa có thì làm mới (5 phút)</x:t>
  </x:si>
  <x:si>
    <x:t xml:space="preserve">Đánh dấu nhóm đã có hay chưa. Cả hai lối đi đều đủ điểm. Dùng số thật từ buổi trước được cộng tối đa 10 điểm.</x:t>
  </x:si>
  <x:si>
    <x:t xml:space="preserve">Có thể đã có từ buổi trước</x:t>
  </x:si>
  <x:si>
    <x:t xml:space="preserve">Nhóm đã có chưa?</x:t>
  </x:si>
  <x:si>
    <x:t xml:space="preserve">Nếu ĐÃ CÓ: dùng ở đâu</x:t>
  </x:si>
  <x:si>
    <x:t xml:space="preserve">Nếu CHƯA CÓ: làm gì</x:t>
  </x:si>
  <x:si>
    <x:t xml:space="preserve">Ghi chú (tên file, đường dẫn)</x:t>
  </x:si>
  <x:si>
    <x:t xml:space="preserve">Mô hình hiệu quả đầu tư 3–6–12 tháng và tài liệu yêu cầu sản phẩm (Phase 1, Ngày 6)</x:t>
  </x:si>
  <x:si>
    <x:t xml:space="preserve">Làm phiên bản 2; so sánh con số cũ và mới ở trang 3–5</x:t>
  </x:si>
  <x:si>
    <x:t xml:space="preserve">Dựng mới trên file này</x:t>
  </x:si>
  <x:si>
    <x:t xml:space="preserve">Bảng giám sát agent: token, chi phí theo ngày (Ngày 13)</x:t>
  </x:si>
  <x:si>
    <x:t xml:space="preserve">Lấy số lần gọi AI và token thật ở trang 1</x:t>
  </x:si>
  <x:si>
    <x:t xml:space="preserve">Chạy thử 5 câu hỏi, xem số token ở trang quản lý API (cách làm: trang 1, cột Gợi ý)</x:t>
  </x:si>
  <x:si>
    <x:t xml:space="preserve">Báo cáo đánh giá chất lượng (Ngày 14 hoặc buổi đánh giá Track 1)</x:t>
  </x:si>
  <x:si>
    <x:t xml:space="preserve">Tỷ lệ chưa đạt → tỷ lệ cần người kiểm tra ở trang 1</x:t>
  </x:si>
  <x:si>
    <x:t xml:space="preserve">Giả định 10–20%, ghi lý do</x:t>
  </x:si>
  <x:si>
    <x:t xml:space="preserve">Phiếu bài tập 1 và bài về nhà một trang (Ngày 22)</x:t>
  </x:si>
  <x:si>
    <x:t xml:space="preserve">Cách tính tiền, chi phí mỗi việc, giá đề xuất: chép vào trang 1–2 rồi soát lại</x:t>
  </x:si>
  <x:si>
    <x:t xml:space="preserve">Làm nhanh ở Nhiệm vụ 1–2 theo bản mẫu (cột Gợi ý ở trang 1–2)</x:t>
  </x:si>
  <x:si>
    <x:t xml:space="preserve">Bảng theo dõi chỉ số và luật xử lý (Ngày 23)</x:t>
  </x:si>
  <x:si>
    <x:t xml:space="preserve">Điền mức cảnh báo tự tính (trang 5, dòng 72–77) vào cột [TỰ TÍNH]</x:t>
  </x:si>
  <x:si>
    <x:t xml:space="preserve">Dùng bảng mức cảnh báo ở trang 5 làm khung</x:t>
  </x:si>
  <x:si>
    <x:t xml:space="preserve">Sản phẩm của nhóm từ các buổi trước</x:t>
  </x:si>
  <x:si>
    <x:t xml:space="preserve">Dùng xuyên suốt</x:t>
  </x:si>
  <x:si>
    <x:t xml:space="preserve">Nhóm ngồi chung bàn nhưng khác dự án: chọn 1 trong 3 đề bài giả định trong file CS9_DeBai_GiaDinh.pdf (đề cho sẵn số liệu trang 1–3; ghi tên đề ở cột Ghi chú)</x:t>
  </x:si>
  <x:si>
    <x:t xml:space="preserve">Số đầu vào nhóm đã có</x:t>
  </x:si>
  <x:si>
    <x:t xml:space="preserve">Điểm thưởng gợi ý (tối đa 10): 2 điểm cho mỗi đầu vào đã có và thật sự được dùng trong bài</x:t>
  </x:si>
  <x:si>
    <x:t xml:space="preserve">A · Bài tập tài chính doanh nghiệp căn bản: lập ba báo cáo tài chính</x:t>
  </x:si>
  <x:si>
    <x:t xml:space="preserve">Công ty Trợ Lý Xanh bán trợ lý AI trả lời tin nhắn. Dưới đây là mọi giao dịch của 3 tháng đầu. Lập báo cáo kết quả kinh doanh, bảng cân đối kế toán và báo cáo lưu chuyển tiền tệ.</x:t>
  </x:si>
  <x:si>
    <x:t xml:space="preserve">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x:t>
  </x:si>
  <x:si>
    <x:t xml:space="preserve">ĐỀ BÀI · Giao dịch 3 tháng đầu</x:t>
  </x:si>
  <x:si>
    <x:t xml:space="preserve">STT</x:t>
  </x:si>
  <x:si>
    <x:t xml:space="preserve">Giao dịch</x:t>
  </x:si>
  <x:si>
    <x:t xml:space="preserve">Tháng 1</x:t>
  </x:si>
  <x:si>
    <x:t xml:space="preserve">Tháng 2</x:t>
  </x:si>
  <x:si>
    <x:t xml:space="preserve">Tháng 3</x:t>
  </x:si>
  <x:si>
    <x:t xml:space="preserve">Ghi chú</x:t>
  </x:si>
  <x:si>
    <x:t xml:space="preserve">Bài 1 · Vào báo cáo kết quả? (Có / Không · vì sao)</x:t>
  </x:si>
  <x:si>
    <x:t xml:space="preserve">Chủ sở hữu góp vốn bằng tiền</x:t>
  </x:si>
  <x:si>
    <x:t xml:space="preserve">Vay ngân hàng, gốc trả sau 3 năm</x:t>
  </x:si>
  <x:si>
    <x:t xml:space="preserve">Lãi 12%/năm, trả cuối mỗi tháng</x:t>
  </x:si>
  <x:si>
    <x:t xml:space="preserve">Mua máy chủ, trả tiền ngay</x:t>
  </x:si>
  <x:si>
    <x:t xml:space="preserve">Dùng 36 tháng, khấu hao đều</x:t>
  </x:si>
  <x:si>
    <x:t xml:space="preserve">Bán gói tháng cho cửa hàng nhỏ, thu tiền ngay</x:t>
  </x:si>
  <x:si>
    <x:t xml:space="preserve">Ngân hàng X trả trước gói 12 tháng</x:t>
  </x:si>
  <x:si>
    <x:t xml:space="preserve">Dịch vụ chạy đều từ tháng 1</x:t>
  </x:si>
  <x:si>
    <x:t xml:space="preserve">Dự án triển khai cho công ty Y được nghiệm thu</x:t>
  </x:si>
  <x:si>
    <x:t xml:space="preserve">Y trả tiền sau 60 ngày (tháng 4)</x:t>
  </x:si>
  <x:si>
    <x:t xml:space="preserve">Chi phí gọi AI phát sinh trong tháng</x:t>
  </x:si>
  <x:si>
    <x:t xml:space="preserve">Nhà cung cấp cho trả vào tháng sau</x:t>
  </x:si>
  <x:si>
    <x:t xml:space="preserve">Người kiểm tra câu trả lời, trả trong tháng</x:t>
  </x:si>
  <x:si>
    <x:t xml:space="preserve">Lương đội phát triển và bán hàng, trả trong tháng</x:t>
  </x:si>
  <x:si>
    <x:t xml:space="preserve">Thuê văn phòng, trả trong tháng</x:t>
  </x:si>
  <x:si>
    <x:t xml:space="preserve">Thuế thu nhập doanh nghiệp</x:t>
  </x:si>
  <x:si>
    <x:t xml:space="preserve">Lỗ lũy kế nên chưa phát sinh thuế</x:t>
  </x:si>
  <x:si>
    <x:t xml:space="preserve">BÀI 1 · BÁO CÁO KẾT QUẢ KINH DOANH (10 phút). Ghi theo tháng phát sinh, không theo ngày tiền vào ra. Chi phí ghi số dương; dòng lợi nhuận = kết quả cộng trừ.</x:t>
  </x:si>
  <x:si>
    <x:t xml:space="preserve">Khoản mục</x:t>
  </x:si>
  <x:si>
    <x:t xml:space="preserve">Cộng 3 tháng</x:t>
  </x:si>
  <x:si>
    <x:t xml:space="preserve">Tự kiểm tra</x:t>
  </x:si>
  <x:si>
    <x:t xml:space="preserve">Doanh thu</x:t>
  </x:si>
  <x:si>
    <x:t xml:space="preserve">Giá vốn (gọi AI + người kiểm tra)</x:t>
  </x:si>
  <x:si>
    <x:t xml:space="preserve">Lợi nhuận gộp</x:t>
  </x:si>
  <x:si>
    <x:t xml:space="preserve">Chi phí hoạt động (lương + văn phòng)</x:t>
  </x:si>
  <x:si>
    <x:t xml:space="preserve">Lợi nhuận trước lãi vay, thuế và khấu hao (EBITDA)</x:t>
  </x:si>
  <x:si>
    <x:t xml:space="preserve">Khấu hao</x:t>
  </x:si>
  <x:si>
    <x:t xml:space="preserve">Lợi nhuận hoạt động</x:t>
  </x:si>
  <x:si>
    <x:t xml:space="preserve">Lãi vay</x:t>
  </x:si>
  <x:si>
    <x:t xml:space="preserve">Lợi nhuận trước thuế</x:t>
  </x:si>
  <x:si>
    <x:t xml:space="preserve">Lợi nhuận sau thuế</x:t>
  </x:si>
  <x:si>
    <x:t xml:space="preserve">Biên lợi nhuận gộp</x:t>
  </x:si>
  <x:si>
    <x:t xml:space="preserve">KIỂM TRA ghi theo kỳ: tổng lợi nhuận sau thuế 3 tháng (ô F31) có bằng −174 (số ở câu 3) không?</x:t>
  </x:si>
  <x:si>
    <x:t xml:space="preserve">BÀI 2 · BẢNG CÂN ĐỐI KẾ TOÁN cuối tháng 3 (Bài 2 và 3: 14 phút). Hao mòn lũy kế ghi số âm; lợi nhuận giữ lại đang lỗ thì ghi số âm.</x:t>
  </x:si>
  <x:si>
    <x:t xml:space="preserve">Số tiền</x:t>
  </x:si>
  <x:si>
    <x:t xml:space="preserve">TÀI SẢN</x:t>
  </x:si>
  <x:si>
    <x:t xml:space="preserve">Tiền</x:t>
  </x:si>
  <x:si>
    <x:t xml:space="preserve">Phải thu khách hàng</x:t>
  </x:si>
  <x:si>
    <x:t xml:space="preserve">Máy chủ — nguyên giá</x:t>
  </x:si>
  <x:si>
    <x:t xml:space="preserve">Hao mòn lũy kế</x:t>
  </x:si>
  <x:si>
    <x:t xml:space="preserve">Tổng tài sản</x:t>
  </x:si>
  <x:si>
    <x:t xml:space="preserve">NỢ PHẢI TRẢ</x:t>
  </x:si>
  <x:si>
    <x:t xml:space="preserve">Phải trả nhà cung cấp</x:t>
  </x:si>
  <x:si>
    <x:t xml:space="preserve">Doanh thu chưa thực hiện</x:t>
  </x:si>
  <x:si>
    <x:t xml:space="preserve">Vay ngân hàng</x:t>
  </x:si>
  <x:si>
    <x:t xml:space="preserve">Tổng nợ phải trả</x:t>
  </x:si>
  <x:si>
    <x:t xml:space="preserve">VỐN CHỦ SỞ HỮU</x:t>
  </x:si>
  <x:si>
    <x:t xml:space="preserve">Vốn góp</x:t>
  </x:si>
  <x:si>
    <x:t xml:space="preserve">Lợi nhuận giữ lại</x:t>
  </x:si>
  <x:si>
    <x:t xml:space="preserve">Tổng vốn chủ sở hữu</x:t>
  </x:si>
  <x:si>
    <x:t xml:space="preserve">Tổng nợ phải trả + vốn chủ sở hữu</x:t>
  </x:si>
  <x:si>
    <x:t xml:space="preserve">KIỂM TRA: Tài sản = Nợ phải trả + Vốn chủ sở hữu?</x:t>
  </x:si>
  <x:si>
    <x:t xml:space="preserve">KIỂM TRA: Lợi nhuận giữ lại = tổng lợi nhuận sau thuế 3 tháng (bài 1)?</x:t>
  </x:si>
  <x:si>
    <x:t xml:space="preserve">BÀI 3 · BÁO CÁO LƯU CHUYỂN TIỀN TỆ 3 tháng, phương pháp gián tiếp. Tiền vào ghi số dương, tiền ra ghi số âm; dòng 58–61 theo đúng chữ "Cộng" / "Trừ" ở đầu dòng.</x:t>
  </x:si>
  <x:si>
    <x:t xml:space="preserve">Cộng: khấu hao (không phải tiền chi ra) → số dương</x:t>
  </x:si>
  <x:si>
    <x:t xml:space="preserve">Trừ: phải thu khách hàng tăng thêm (đã ghi doanh thu, chưa thu tiền) → số âm</x:t>
  </x:si>
  <x:si>
    <x:t xml:space="preserve">Cộng: phải trả nhà cung cấp tăng thêm (đã ghi chi phí, chưa trả tiền) → số dương</x:t>
  </x:si>
  <x:si>
    <x:t xml:space="preserve">Cộng: doanh thu chưa thực hiện tăng thêm (khách trả trước) → số dương</x:t>
  </x:si>
  <x:si>
    <x:t xml:space="preserve">Dòng tiền từ hoạt động kinh doanh</x:t>
  </x:si>
  <x:si>
    <x:t xml:space="preserve">Mua máy chủ (tiền ra → số âm)</x:t>
  </x:si>
  <x:si>
    <x:t xml:space="preserve">Dòng tiền từ hoạt động đầu tư</x:t>
  </x:si>
  <x:si>
    <x:t xml:space="preserve">Góp vốn (tiền vào → số dương)</x:t>
  </x:si>
  <x:si>
    <x:t xml:space="preserve">Vay ngân hàng (tiền vào → số dương)</x:t>
  </x:si>
  <x:si>
    <x:t xml:space="preserve">Dòng tiền từ hoạt động tài chính</x:t>
  </x:si>
  <x:si>
    <x:t xml:space="preserve">Tiền tăng thêm trong kỳ</x:t>
  </x:si>
  <x:si>
    <x:t xml:space="preserve">Tiền đầu kỳ</x:t>
  </x:si>
  <x:si>
    <x:t xml:space="preserve">Tiền cuối kỳ</x:t>
  </x:si>
  <x:si>
    <x:t xml:space="preserve">KIỂM TRA: Tiền cuối kỳ = dòng Tiền trên bảng cân đối?</x:t>
  </x:si>
  <x:si>
    <x:t xml:space="preserve">KIỂM TRA: Lợi nhuận sau thuế = bài 1?</x:t>
  </x:si>
  <x:si>
    <x:t xml:space="preserve">CÂU HỎI 1–4 (làm sau Bài 2 và 3; câu 4 làm khi xong sớm). Mỗi câu 1–2 câu văn.</x:t>
  </x:si>
  <x:si>
    <x:t xml:space="preserve">1. Tháng nào có lãi? Trong tháng đó tiền mặt tăng hay giảm, bao nhiêu, vì sao? (Gợi ý: chỉ cộng tiền thật vào và ra trong tháng đó: tiền gọi AI tháng 1 trả trong tháng 2; 90 triệu dự án Y chưa thu.)</x:t>
  </x:si>
  <x:si>
    <x:t xml:space="preserve">2. 240 triệu ngân hàng X trả trước nằm ở đâu trên bảng cân đối cuối tháng 3, bao nhiêu? Vì sao không ghi hết vào doanh thu?</x:t>
  </x:si>
  <x:si>
    <x:t xml:space="preserve">3. Lỗ 174 triệu mà dòng tiền kinh doanh chỉ âm 19 triệu. Khoản nào bù vào? Có nên vui không?</x:t>
  </x:si>
  <x:si>
    <x:t xml:space="preserve">4. (Xong sớm) Nếu từ tháng 4 mọi thứ giữ như tháng 3, công ty còn trụ được khoảng bao nhiêu tháng?</x:t>
  </x:si>
  <x:si>
    <x:t xml:space="preserve">BÀI 5 · (Xong sớm) MUA MÁY CHỦ HAY THUÊ ĐÁM MÂY — so bằng giá trị hiện tại</x:t>
  </x:si>
  <x:si>
    <x:t xml:space="preserve">Mua: trả 360 triệu ngay, dùng 36 tháng. Thuê đám mây cùng cấu hình: 12 triệu/tháng, trả cuối mỗi tháng, trong 36 tháng. Bỏ qua chi phí vận hành và giá trị còn lại của máy.</x:t>
  </x:si>
  <x:si>
    <x:t xml:space="preserve">Giá mua máy chủ (triệu đồng)</x:t>
  </x:si>
  <x:si>
    <x:t xml:space="preserve">Tiền thuê mỗi tháng (triệu đồng)</x:t>
  </x:si>
  <x:si>
    <x:t xml:space="preserve">Số tháng</x:t>
  </x:si>
  <x:si>
    <x:t xml:space="preserve">Chi phí vốn / năm</x:t>
  </x:si>
  <x:si>
    <x:t xml:space="preserve">Giá trị hiện tại của 36 tháng tiền thuê. Gợi ý: =PV(C85/12; C84; -C83). Dấu trừ trước C83 để kết quả là số dương; máy đặt tiếng Anh dùng dấu phẩy thay dấu chấm phẩy.</x:t>
  </x:si>
  <x:si>
    <x:t xml:space="preserve">Nên mua hay thuê? (chọn Mua hoặc Thuê trong danh sách)</x:t>
  </x:si>
  <x:si>
    <x:t xml:space="preserve">Nếu chi phí vốn chỉ 8%/năm: giá trị hiện tại của tiền thuê (gợi ý: =PV(0,08/12; C84; -C83))</x:t>
  </x:si>
  <x:si>
    <x:t xml:space="preserve">Khi đó nên mua hay thuê?</x:t>
  </x:si>
  <x:si>
    <x:t xml:space="preserve">1 · Chi phí để AI làm xong 1 việc</x:t>
  </x:si>
  <x:si>
    <x:t xml:space="preserve">'Việc' = 1 đơn vị công việc khách nhận được, ví dụ: 1 hội thoại được trả lời, 1 hồ sơ được đọc, 1 cuộc gọi.</x:t>
  </x:si>
  <x:si>
    <x:t xml:space="preserve">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x:t>
  </x:si>
  <x:si>
    <x:t xml:space="preserve">Hạng mục</x:t>
  </x:si>
  <x:si>
    <x:t xml:space="preserve">Giá trị</x:t>
  </x:si>
  <x:si>
    <x:t xml:space="preserve">Đơn vị</x:t>
  </x:si>
  <x:si>
    <x:t xml:space="preserve">Nguồn / lý do</x:t>
  </x:si>
  <x:si>
    <x:t xml:space="preserve">Gợi ý cách lấy số · bản mẫu</x:t>
  </x:si>
  <x:si>
    <x:t xml:space="preserve">Mô tả 1 việc (Ngày 22 gọi là job)</x:t>
  </x:si>
  <x:si>
    <x:t xml:space="preserve">Một câu: AI nhận gì, trả ra gì cho khách. Bản mẫu: trả lời 1 hội thoại Zalo của khách cho cửa hàng nhỏ.</x:t>
  </x:si>
  <x:si>
    <x:t xml:space="preserve">Số lần gọi mô hình / việc</x:t>
  </x:si>
  <x:si>
    <x:t xml:space="preserve">lần</x:t>
  </x:si>
  <x:si>
    <x:t xml:space="preserve">Đếm số bước phải gọi mô hình cho 1 việc: hiểu câu hỏi, tra cứu, soạn trả lời, tự kiểm tra. Bản mẫu: 2.</x:t>
  </x:si>
  <x:si>
    <x:t xml:space="preserve">Token đầu vào / lần gọi</x:t>
  </x:si>
  <x:si>
    <x:t xml:space="preserve">token</x:t>
  </x:si>
  <x:si>
    <x:t xml:space="preserve">Gồm câu lệnh hệ thống + tài liệu tra cứu + lịch sử hội thoại + câu hỏi. Có bảng giám sát agent thì lấy số thật; chưa có thì chạy thử 5 câu và xem số token ở trang quản lý API. Bản mẫu: 2.000.</x:t>
  </x:si>
  <x:si>
    <x:t xml:space="preserve">Token đầu ra / lần gọi</x:t>
  </x:si>
  <x:si>
    <x:t xml:space="preserve">Độ dài câu trả lời, đếm bằng cách chạy thử. Bản mẫu: 300 (1–3 câu ngắn).</x:t>
  </x:si>
  <x:si>
    <x:t xml:space="preserve">Giá token đầu vào</x:t>
  </x:si>
  <x:si>
    <x:t xml:space="preserve">USD / 1 triệu token</x:t>
  </x:si>
  <x:si>
    <x:t xml:space="preserve">Chọn 1 mô hình ở trang 9 hoặc trang giá chính thức. Ghi tên mô hình, ngày tra, đường dẫn ở cột D. Bản mẫu: 0,4 USD (mô hình nhỏ giả định; nhóm thay bằng giá mô hình thật).</x:t>
  </x:si>
  <x:si>
    <x:t xml:space="preserve">Giá token đầu ra</x:t>
  </x:si>
  <x:si>
    <x:t xml:space="preserve">Như dòng 9. Giá đầu ra thường cao hơn đầu vào nhiều lần. Bản mẫu: 1,6 USD.</x:t>
  </x:si>
  <x:si>
    <x:t xml:space="preserve">Tỷ giá</x:t>
  </x:si>
  <x:si>
    <x:t xml:space="preserve">VND / USD</x:t>
  </x:si>
  <x:si>
    <x:t xml:space="preserve">Tỷ giá bán ra Vietcombank ở trang 9 (26.170 đồng, ngày 04/10/2026) hoặc tra mới, ghi ngày. Bản mẫu: 26.000.</x:t>
  </x:si>
  <x:si>
    <x:t xml:space="preserve">Tỷ lệ gọi lại khi lỗi</x:t>
  </x:si>
  <x:si>
    <x:t xml:space="preserve">%</x:t>
  </x:si>
  <x:si>
    <x:t xml:space="preserve">Tỷ lệ việc phải gọi lại vì lỗi, hết thời gian chờ, trả lời hỏng. Chưa đo: giả định 5–10%, ghi lý do. Bản mẫu: 10%.</x:t>
  </x:si>
  <x:si>
    <x:t xml:space="preserve">Hạ tầng / việc (máy chủ, cơ sở dữ liệu, gửi tin)</x:t>
  </x:si>
  <x:si>
    <x:t xml:space="preserve">VND</x:t>
  </x:si>
  <x:si>
    <x:t xml:space="preserve">Hoá đơn hạ tầng tăng theo lượt dùng (máy chủ, cơ sở dữ liệu, gửi tin) mỗi tháng ÷ số việc mỗi tháng. Phần trả cố định hằng tháng để ở trang 3, dòng 11. Bản mẫu: 100 đồng.</x:t>
  </x:si>
  <x:si>
    <x:t xml:space="preserve">Tỷ lệ việc cần người kiểm tra</x:t>
  </x:si>
  <x:si>
    <x:t xml:space="preserve">Lấy từ báo cáo đánh giá chất lượng (tỷ lệ trả lời chưa đạt). Chưa có: giả định 10–20%. Bản mẫu: 10%.</x:t>
  </x:si>
  <x:si>
    <x:t xml:space="preserve">Số phút người kiểm tra / việc</x:t>
  </x:si>
  <x:si>
    <x:t xml:space="preserve">phút</x:t>
  </x:si>
  <x:si>
    <x:t xml:space="preserve">Thời gian 1 người đọc và sửa 1 kết quả. Bản mẫu: 1,5 phút.</x:t>
  </x:si>
  <x:si>
    <x:t xml:space="preserve">Chi phí nhân sự kiểm tra</x:t>
  </x:si>
  <x:si>
    <x:t xml:space="preserve">VND / giờ</x:t>
  </x:si>
  <x:si>
    <x:t xml:space="preserve">Bằng (lương tháng + bảo hiểm) ÷ số giờ làm mỗi tháng (khoảng 176–208 giờ). Lương tối thiểu ở trang 9 chỉ là mức sàn. Bản mẫu: 60.000 đồng/giờ.</x:t>
  </x:si>
  <x:si>
    <x:t xml:space="preserve">Đánh giá chất lượng, giám sát, gán nhãn lại / việc</x:t>
  </x:si>
  <x:si>
    <x:t xml:space="preserve">Chi phí chạy bộ câu hỏi đánh giá, gán nhãn lại mỗi tháng ÷ số việc mỗi tháng. Bản mẫu: 60 đồng.</x:t>
  </x:si>
  <x:si>
    <x:t xml:space="preserve">Chi phí khác / việc (tuân thủ, lưu nhật ký…)</x:t>
  </x:si>
  <x:si>
    <x:t xml:space="preserve">Lưu nhật ký, bảo mật, tuân thủ. Ghi 0 thì nói vì sao. Bản mẫu: 30 đồng.</x:t>
  </x:si>
  <x:si>
    <x:t xml:space="preserve">KẾT QUẢ</x:t>
  </x:si>
  <x:si>
    <x:t xml:space="preserve">Chi phí gọi AI / việc (đã tính gọi lại)</x:t>
  </x:si>
  <x:si>
    <x:t xml:space="preserve">Chi phí người kiểm tra / việc</x:t>
  </x:si>
  <x:si>
    <x:t xml:space="preserve">Hạ tầng + đánh giá + khác / việc</x:t>
  </x:si>
  <x:si>
    <x:t xml:space="preserve">TỔNG CHI PHÍ MỖI VIỆC</x:t>
  </x:si>
  <x:si>
    <x:t xml:space="preserve">Bản mẫu: khoảng 413 đồng mỗi việc, trong đó gọi AI chỉ khoảng 73 đồng.</x:t>
  </x:si>
  <x:si>
    <x:t xml:space="preserve">Phần chìm so với chi phí gọi AI</x:t>
  </x:si>
  <x:si>
    <x:t xml:space="preserve">Dưới 30%: rà lại xem đã đủ các khoản chưa (kinh nghiệm giảng viên). Không thêm khoản bịa chỉ để đạt mốc.</x:t>
  </x:si>
  <x:si>
    <x:t xml:space="preserve">Giá sàn mỗi việc = 3 × chi phí mỗi việc</x:t>
  </x:si>
  <x:si>
    <x:t xml:space="preserve">Dùng cho giá từng việc, kể cả giá vượt hạn mức (biên ≈ 67%): chừa đệm cho khách dùng nhiều và giá AI biến động</x:t>
  </x:si>
  <x:si>
    <x:t xml:space="preserve">Giá tối thiểu để biên lợi nhuận gộp đạt 60%</x:t>
  </x:si>
  <x:si>
    <x:t xml:space="preserve">Giá bình quân mỗi việc của cả tệp khách nên cao hơn số này (để biên bình quân ≥ 60%, trang 4 và 7). Giá từng việc, kể cả phí vượt, dùng dòng 26.</x:t>
  </x:si>
  <x:si>
    <x:t xml:space="preserve">2 · Định giá: cách tính tiền, gói giá và nhóm khách dùng nhiều</x:t>
  </x:si>
  <x:si>
    <x:t xml:space="preserve">So sánh gói kết hợp (phí cố định + phí vượt hạn mức) với gói không giới hạn để thấy rủi ro từ nhóm khách dùng nhiều.</x:t>
  </x:si>
  <x:si>
    <x:t xml:space="preserve">Mục</x:t>
  </x:si>
  <x:si>
    <x:t xml:space="preserve">Khách trả tiền từ ngân sách nào?</x:t>
  </x:si>
  <x:si>
    <x:t xml:space="preserve">Phần mềm hay Nhân sự?</x:t>
  </x:si>
  <x:si>
    <x:t xml:space="preserve">Cách tính tiền đã chọn</x:t>
  </x:si>
  <x:si>
    <x:t xml:space="preserve">Bảng giá dưới luôn có dạng phí cố định + phí mỗi việc vượt hạn mức. Cách nhập cho từng cách tính tiền: dòng 35–40.</x:t>
  </x:si>
  <x:si>
    <x:t xml:space="preserve">Lý do chọn (hai câu hỏi: đo được kết quả? AI tự làm trọn?)</x:t>
  </x:si>
  <x:si>
    <x:t xml:space="preserve">Neo giá so với cái gì?</x:t>
  </x:si>
  <x:si>
    <x:t xml:space="preserve">Lương hoặc chi phí thuê ngoài, không so với giá ChatGPT</x:t>
  </x:si>
  <x:si>
    <x:t xml:space="preserve">Phí cố định / khách / tháng</x:t>
  </x:si>
  <x:si>
    <x:t xml:space="preserve">Số việc đã gồm trong phí cố định</x:t>
  </x:si>
  <x:si>
    <x:t xml:space="preserve">việc / tháng</x:t>
  </x:si>
  <x:si>
    <x:t xml:space="preserve">Giá mỗi việc vượt hạn mức</x:t>
  </x:si>
  <x:si>
    <x:t xml:space="preserve">VND / việc</x:t>
  </x:si>
  <x:si>
    <x:t xml:space="preserve">Giá gói không giới hạn (để so sánh; thường = phí cố định dòng 9)</x:t>
  </x:si>
  <x:si>
    <x:t xml:space="preserve">VND / tháng</x:t>
  </x:si>
  <x:si>
    <x:t xml:space="preserve">Nhóm khách</x:t>
  </x:si>
  <x:si>
    <x:t xml:space="preserve">Tỷ trọng số khách (2 dòng cộng = 100%)</x:t>
  </x:si>
  <x:si>
    <x:t xml:space="preserve">Số việc / 1 khách / tháng</x:t>
  </x:si>
  <x:si>
    <x:t xml:space="preserve">Doanh thu / khách (gói kết hợp)</x:t>
  </x:si>
  <x:si>
    <x:t xml:space="preserve">Chi phí AI / khách (= số việc × chi phí mỗi việc)</x:t>
  </x:si>
  <x:si>
    <x:t xml:space="preserve">Biên lợi nhuận gộp (kết hợp)</x:t>
  </x:si>
  <x:si>
    <x:t xml:space="preserve">Doanh thu / khách (không giới hạn)</x:t>
  </x:si>
  <x:si>
    <x:t xml:space="preserve">Biên lợi nhuận gộp (không giới hạn)</x:t>
  </x:si>
  <x:si>
    <x:t xml:space="preserve">Khách thường</x:t>
  </x:si>
  <x:si>
    <x:t xml:space="preserve">Khách dùng nhiều</x:t>
  </x:si>
  <x:si>
    <x:t xml:space="preserve">BÌNH QUÂN (theo tỷ trọng)</x:t>
  </x:si>
  <x:si>
    <x:t xml:space="preserve">Kiểm tra: tổng tỷ trọng phải = 100%</x:t>
  </x:si>
  <x:si>
    <x:t xml:space="preserve">Kiểm tra: giá mỗi việc vượt hạn mức ≥ giá sàn mỗi việc (trang 1, dòng 26)?</x:t>
  </x:si>
  <x:si>
    <x:t xml:space="preserve">Tỷ trọng doanh thu đến từ khách dùng nhiều</x:t>
  </x:si>
  <x:si>
    <x:t xml:space="preserve">Trong đó: phí vượt hạn mức</x:t>
  </x:si>
  <x:si>
    <x:t xml:space="preserve">Cảnh báo phụ thuộc</x:t>
  </x:si>
  <x:si>
    <x:t xml:space="preserve">PHÉP THỬ GIÁ: dùng chính quy tắc của Ngày 22 và chỉ số của Ngày 23</x:t>
  </x:si>
  <x:si>
    <x:t xml:space="preserve">Lương 1 tháng của người được thay</x:t>
  </x:si>
  <x:si>
    <x:t xml:space="preserve">Tỷ lệ chia doanh thu cho đối tác / kênh bán</x:t>
  </x:si>
  <x:si>
    <x:t xml:space="preserve">% doanh thu</x:t>
  </x:si>
  <x:si>
    <x:t xml:space="preserve">Trả mỗi tháng</x:t>
  </x:si>
  <x:si>
    <x:t xml:space="preserve">So với lương người được thay</x:t>
  </x:si>
  <x:si>
    <x:t xml:space="preserve">Quy tắc neo 50–70% lương (Ngày 22)</x:t>
  </x:si>
  <x:si>
    <x:t xml:space="preserve">Tiền AI ÷ doanh thu (chỉ số Ngày 23)</x:t>
  </x:si>
  <x:si>
    <x:t xml:space="preserve">Mức theo Ngày 23</x:t>
  </x:si>
  <x:si>
    <x:t xml:space="preserve">Khách dùng nhiều, gói kết hợp</x:t>
  </x:si>
  <x:si>
    <x:t xml:space="preserve">Khách dùng nhiều, nếu bán gói không giới hạn</x:t>
  </x:si>
  <x:si>
    <x:t xml:space="preserve">Biên lợi nhuận gộp bình quân sau khi chia cho đối tác</x:t>
  </x:si>
  <x:si>
    <x:t xml:space="preserve">Ngày 23: trên 50% ổn · 35–50% đáng lo · dưới 35% nguy</x:t>
  </x:si>
  <x:si>
    <x:t xml:space="preserve">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x:t>
  </x:si>
  <x:si>
    <x:t xml:space="preserve">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x:t>
  </x:si>
  <x:si>
    <x:t xml:space="preserve">CÁCH NHẬP DÒNG 9–12 THEO CÁCH TÍNH TIỀN ĐÃ CHỌN Ở DÒNG 6</x:t>
  </x:si>
  <x:si>
    <x:t xml:space="preserve">Theo lượt dùng</x:t>
  </x:si>
  <x:si>
    <x:t xml:space="preserve">Dòng 9 = 0 · dòng 10 = 0 · dòng 11 = giá mỗi việc</x:t>
  </x:si>
  <x:si>
    <x:t xml:space="preserve">Theo người dùng (tài khoản)</x:t>
  </x:si>
  <x:si>
    <x:t xml:space="preserve">Dòng 9 = giá mỗi tài khoản × số tài khoản của 1 khách · dòng 10 = mức dùng hợp lý · dòng 11 = phí vượt (không thu thì để trống, bỏ qua dòng 19, xem rủi ro ở dòng 31)</x:t>
  </x:si>
  <x:si>
    <x:t xml:space="preserve">Theo kết quả</x:t>
  </x:si>
  <x:si>
    <x:t xml:space="preserve">Dòng 9 = 0 · dòng 10 = 0 · dòng 11 = giá mỗi kết quả × tỷ lệ việc ra kết quả</x:t>
  </x:si>
  <x:si>
    <x:t xml:space="preserve">Kết hợp (bản mẫu)</x:t>
  </x:si>
  <x:si>
    <x:t xml:space="preserve">Dòng 9 = 499.000 · dòng 10 = 300 việc · dòng 11 = 1.500 đồng mỗi việc</x:t>
  </x:si>
  <x:si>
    <x:t xml:space="preserve">Dòng 12</x:t>
  </x:si>
  <x:si>
    <x:t xml:space="preserve">Chỉ để so sánh: nhập bằng phí cố định dòng 9; nếu dòng 9 = 0 thì nhập mức trọn gói nhóm từng cân nhắc.</x:t>
  </x:si>
  <x:si>
    <x:t xml:space="preserve">3 · Giả định cho 3 kịch bản</x:t>
  </x:si>
  <x:si>
    <x:t xml:space="preserve">Lạc quan = trình bày với nhà đầu tư · Cơ sở = lập kế hoạch · Xấu = để sống sót. Điền cột CƠ SỞ trước, có nguồn hoặc lý do. Cột Lạc quan, Xấu có sẵn mặc định theo Cơ sở (xem cột Gợi ý); sửa nếu có lý do.</x:t>
  </x:si>
  <x:si>
    <x:t xml:space="preserve">Giả định</x:t>
  </x:si>
  <x:si>
    <x:t xml:space="preserve">Lạc quan</x:t>
  </x:si>
  <x:si>
    <x:t xml:space="preserve">Cơ sở</x:t>
  </x:si>
  <x:si>
    <x:t xml:space="preserve">Xấu</x:t>
  </x:si>
  <x:si>
    <x:t xml:space="preserve">Gợi ý · bản mẫu (Lạc quan / Cơ sở / Xấu)</x:t>
  </x:si>
  <x:si>
    <x:t xml:space="preserve">Hệ số doanh thu bình quân so với trang 2 (1 = giữ nguyên · 1,1 = cao hơn 10% · 0,8 = thấp hơn 20%)</x:t>
  </x:si>
  <x:si>
    <x:t xml:space="preserve">×</x:t>
  </x:si>
  <x:si>
    <x:t xml:space="preserve">Cơ sở = 1. Lạc quan, xấu: mặc định 1,1 và 0,8; sửa nếu có lý do</x:t>
  </x:si>
  <x:si>
    <x:t xml:space="preserve">Bản mẫu: 1,1 / 1 / 0,8. Xấu: bị ép giảm giá; lạc quan: bán được gói cao hơn.</x:t>
  </x:si>
  <x:si>
    <x:t xml:space="preserve">Hệ số chi phí AI / khách so với trang 2 (gõ như dòng 5)</x:t>
  </x:si>
  <x:si>
    <x:t xml:space="preserve">Bản mẫu: 0,9 / 1 / 1,2. Giá gọi AI hoặc cách khách dùng thay đổi.</x:t>
  </x:si>
  <x:si>
    <x:t xml:space="preserve">Khách mới tháng 1 (số khách ký được trong tháng đầu bán)</x:t>
  </x:si>
  <x:si>
    <x:t xml:space="preserve">khách</x:t>
  </x:si>
  <x:si>
    <x:t xml:space="preserve">Cơ sở: số khách đội bán hàng ký được thật trong tháng đầu. Mặc định: lạc quan = cơ sở × 1,3; xấu = cơ sở × 0,5. (Bản mẫu tự đặt 40 / 30 / 15.)</x:t>
  </x:si>
  <x:si>
    <x:t xml:space="preserve">Tăng trưởng khách mới / tháng (tính kép: 5%/tháng → tháng 24 gấp khoảng 3 lần tháng 1; 20%/tháng → gấp khoảng 66 lần)</x:t>
  </x:si>
  <x:si>
    <x:t xml:space="preserve">Mặc định: lạc quan × 1,6, xấu × 0,4. Bản mẫu: 8% / 5% / 2%. Trên 10% mỗi tháng cần lý do rất chắc.</x:t>
  </x:si>
  <x:si>
    <x:t xml:space="preserve">Tỷ lệ rời bỏ / tháng</x:t>
  </x:si>
  <x:si>
    <x:t xml:space="preserve">Chưa có số đo: lấy từ phỏng vấn hoặc thử nghiệm, ghi "Giả định". Xấu phải ≥ 1,5 × cơ sở. Mặc định: lạc quan × 0,6, xấu × 1,6. Bản mẫu: 3% / 5% / 8%.</x:t>
  </x:si>
  <x:si>
    <x:t xml:space="preserve">Chi phí có một khách (CAC) = tiền quảng cáo và bán hàng 1 tháng ÷ số khách mới tháng đó</x:t>
  </x:si>
  <x:si>
    <x:t xml:space="preserve">VND / khách</x:t>
  </x:si>
  <x:si>
    <x:t xml:space="preserve">Xấu phải ≥ 1,5 × cơ sở. Mặc định: lạc quan × 0,8, xấu × 1,5. (Bản mẫu tự đặt 1,2 / 1,5 / 2,3 triệu đồng.)</x:t>
  </x:si>
  <x:si>
    <x:t xml:space="preserve">Chi phí cố định / tháng (lương đội, văn phòng, hạ tầng trả cố định)</x:t>
  </x:si>
  <x:si>
    <x:t xml:space="preserve">Gõ đủ số đồng. Gồm lương đội phát triển (đã tách khỏi trang 1) và chi phí kiểm thử lại mỗi khi đổi mô hình hoặc câu lệnh. Bản mẫu: 150 triệu.</x:t>
  </x:si>
  <x:si>
    <x:t xml:space="preserve">Chi phí xây dựng ban đầu, gồm chi phí thử sai (chi một lần ở tháng 0)</x:t>
  </x:si>
  <x:si>
    <x:t xml:space="preserve">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x:t>
  </x:si>
  <x:si>
    <x:t xml:space="preserve">Tiền mặt hoặc ngân sách đã duyệt (trước khi chi xây dựng)</x:t>
  </x:si>
  <x:si>
    <x:t xml:space="preserve">Gõ đủ số đồng. Dự án trong công ty: ghi ngân sách đã duyệt. Để trống thì mọi kịch bản hết tiền ngay tháng 1. Bản mẫu: 2 tỷ.</x:t>
  </x:si>
  <x:si>
    <x:t xml:space="preserve">Lãi suất chiết khấu / năm</x:t>
  </x:si>
  <x:si>
    <x:t xml:space="preserve">Giả định của lớp: chi phí vốn cho dự án rủi ro cao</x:t>
  </x:si>
  <x:si>
    <x:t xml:space="preserve">Giữ 15% nếu không có lý do khác.</x:t>
  </x:si>
  <x:si>
    <x:t xml:space="preserve">Giá trị tính ra</x:t>
  </x:si>
  <x:si>
    <x:t xml:space="preserve">Doanh thu bình quân / khách / tháng</x:t>
  </x:si>
  <x:si>
    <x:t xml:space="preserve">Chi phí AI (giá vốn) / khách / tháng</x:t>
  </x:si>
  <x:si>
    <x:t xml:space="preserve">Doanh thu bình quân đã trừ phần chia cho đối tác (trang 2, dòng 27).</x:t>
  </x:si>
  <x:si>
    <x:t xml:space="preserve">Kiểm tra kịch bản xấu</x:t>
  </x:si>
  <x:si>
    <x:t xml:space="preserve">Tỷ lệ rời bỏ (xấu) ≥ 1,5 × cơ sở?</x:t>
  </x:si>
  <x:si>
    <x:t xml:space="preserve">Chi phí có một khách (xấu) ≥ 1,5 × cơ sở?</x:t>
  </x:si>
  <x:si>
    <x:t xml:space="preserve">4 · Chỉ số trên mỗi khách: có lãi trên từng khách không?</x:t>
  </x:si>
  <x:si>
    <x:t xml:space="preserve">Giá trị vòng đời (LTV) tính trên lợi nhuận gộp, KHÔNG tính trên doanh thu.</x:t>
  </x:si>
  <x:si>
    <x:t xml:space="preserve">Chỉ số</x:t>
  </x:si>
  <x:si>
    <x:t xml:space="preserve">Ngưỡng tham khảo</x:t>
  </x:si>
  <x:si>
    <x:t xml:space="preserve">Lợi nhuận gộp / khách / tháng</x:t>
  </x:si>
  <x:si>
    <x:t xml:space="preserve">≥ 60%</x:t>
  </x:si>
  <x:si>
    <x:t xml:space="preserve">Số tháng khách ở lại = 1 ÷ tỷ lệ rời bỏ</x:t>
  </x:si>
  <x:si>
    <x:t xml:space="preserve">Giá trị vòng đời (LTV) = lợi nhuận gộp × số tháng ở lại</x:t>
  </x:si>
  <x:si>
    <x:t xml:space="preserve">Chi phí có một khách (CAC)</x:t>
  </x:si>
  <x:si>
    <x:t xml:space="preserve">LTV ÷ CAC (lần)</x:t>
  </x:si>
  <x:si>
    <x:t xml:space="preserve">&gt; 3 (Ngày 23); mô hình của bạn: trang 5, dòng 74</x:t>
  </x:si>
  <x:si>
    <x:t xml:space="preserve">Thời gian hoàn vốn chi phí có khách (tháng)</x:t>
  </x:si>
  <x:si>
    <x:t xml:space="preserve">&lt; 12 tháng</x:t>
  </x:si>
  <x:si>
    <x:t xml:space="preserve">Đánh giá</x:t>
  </x:si>
  <x:si>
    <x:t xml:space="preserve">5 · Dòng tiền 24 tháng và hiệu quả đầu tư (3 kịch bản)</x:t>
  </x:si>
  <x:si>
    <x:t xml:space="preserve">Trang này tự tính: chỉ đọc kết quả, trừ ô vàng B54 (mức làm xấu). Kết quả chỉ có nghĩa khi trang 1–3 đã điền đủ. Tháng 0 = chi phí xây dựng. Bảng độ nhạy ở dòng 53, mức cảnh báo tự tính ở dòng 70–77.</x:t>
  </x:si>
  <x:si>
    <x:t xml:space="preserve">Kịch bản / dòng</x:t>
  </x:si>
  <x:si>
    <x:t xml:space="preserve">Tháng 0</x:t>
  </x:si>
  <x:si>
    <x:t xml:space="preserve">T1</x:t>
  </x:si>
  <x:si>
    <x:t xml:space="preserve">T2</x:t>
  </x:si>
  <x:si>
    <x:t xml:space="preserve">T3</x:t>
  </x:si>
  <x:si>
    <x:t xml:space="preserve">T4</x:t>
  </x:si>
  <x:si>
    <x:t xml:space="preserve">T5</x:t>
  </x:si>
  <x:si>
    <x:t xml:space="preserve">T6</x:t>
  </x:si>
  <x:si>
    <x:t xml:space="preserve">T7</x:t>
  </x:si>
  <x:si>
    <x:t xml:space="preserve">T8</x:t>
  </x:si>
  <x:si>
    <x:t xml:space="preserve">T9</x:t>
  </x:si>
  <x:si>
    <x:t xml:space="preserve">T10</x:t>
  </x:si>
  <x:si>
    <x:t xml:space="preserve">T11</x:t>
  </x:si>
  <x:si>
    <x:t xml:space="preserve">T12</x:t>
  </x:si>
  <x:si>
    <x:t xml:space="preserve">T13</x:t>
  </x:si>
  <x:si>
    <x:t xml:space="preserve">T14</x:t>
  </x:si>
  <x:si>
    <x:t xml:space="preserve">T15</x:t>
  </x:si>
  <x:si>
    <x:t xml:space="preserve">T16</x:t>
  </x:si>
  <x:si>
    <x:t xml:space="preserve">T17</x:t>
  </x:si>
  <x:si>
    <x:t xml:space="preserve">T18</x:t>
  </x:si>
  <x:si>
    <x:t xml:space="preserve">T19</x:t>
  </x:si>
  <x:si>
    <x:t xml:space="preserve">T20</x:t>
  </x:si>
  <x:si>
    <x:t xml:space="preserve">T21</x:t>
  </x:si>
  <x:si>
    <x:t xml:space="preserve">T22</x:t>
  </x:si>
  <x:si>
    <x:t xml:space="preserve">T23</x:t>
  </x:si>
  <x:si>
    <x:t xml:space="preserve">T24</x:t>
  </x:si>
  <x:si>
    <x:t xml:space="preserve">LẠC QUAN</x:t>
  </x:si>
  <x:si>
    <x:t xml:space="preserve">Khách mới</x:t>
  </x:si>
  <x:si>
    <x:t xml:space="preserve">Khách đang dùng</x:t>
  </x:si>
  <x:si>
    <x:t xml:space="preserve">Chi phí AI (giá vốn)</x:t>
  </x:si>
  <x:si>
    <x:t xml:space="preserve">Chi phí bán hàng (chi phí có khách × khách mới)</x:t>
  </x:si>
  <x:si>
    <x:t xml:space="preserve">Chi phí cố định</x:t>
  </x:si>
  <x:si>
    <x:t xml:space="preserve">Dòng tiền ròng</x:t>
  </x:si>
  <x:si>
    <x:t xml:space="preserve">Tiền mặt cuối kỳ</x:t>
  </x:si>
  <x:si>
    <x:t xml:space="preserve">Dòng tiền lũy kế của dự án</x:t>
  </x:si>
  <x:si>
    <x:t xml:space="preserve">CƠ SỞ</x:t>
  </x:si>
  <x:si>
    <x:t xml:space="preserve">XẤU</x:t>
  </x:si>
  <x:si>
    <x:t xml:space="preserve">TÓM TẮT HIỆU QUẢ ĐẦU TƯ</x:t>
  </x:si>
  <x:si>
    <x:t xml:space="preserve">Giá trị hiện tại ròng 24 tháng (đồng; lớn hơn 0 là đáng làm)</x:t>
  </x:si>
  <x:si>
    <x:t xml:space="preserve">&gt; 0</x:t>
  </x:si>
  <x:si>
    <x:t xml:space="preserve">Tỷ suất hoàn vốn nội bộ (IRR, quy ra năm)</x:t>
  </x:si>
  <x:si>
    <x:t xml:space="preserve">&gt; chi phí vốn</x:t>
  </x:si>
  <x:si>
    <x:t xml:space="preserve">Lãi suất làm giá trị hiện tại ròng bằng 0; so với chi phí vốn 15%. Số rất lớn ở kịch bản lạc quan là do vốn quay về nhanh — chỉ dùng để so sánh, không đọc như lợi nhuận.</x:t>
  </x:si>
  <x:si>
    <x:t xml:space="preserve">Tiền mặt thấp nhất</x:t>
  </x:si>
  <x:si>
    <x:t xml:space="preserve">Tháng hết tiền</x:t>
  </x:si>
  <x:si>
    <x:t xml:space="preserve">Không hết trong 12 tháng đầu</x:t>
  </x:si>
  <x:si>
    <x:t xml:space="preserve">Chỉ báo khi tiền mặt âm trong 24 tháng. Kịch bản cơ sở có thể luôn "Không hết tiền" — khi thử độ nhạy, hãy nhìn giá trị hiện tại ròng.</x:t>
  </x:si>
  <x:si>
    <x:t xml:space="preserve">Hoàn vốn dự án</x:t>
  </x:si>
  <x:si>
    <x:t xml:space="preserve">&lt; 24 tháng</x:t>
  </x:si>
  <x:si>
    <x:t xml:space="preserve">Khách đang dùng tháng 24</x:t>
  </x:si>
  <x:si>
    <x:t xml:space="preserve">Doanh thu tháng 24</x:t>
  </x:si>
  <x:si>
    <x:t xml:space="preserve">BẢNG ĐỘ NHẠY (kịch bản cơ sở): làm xấu từng biến, mỗi lần một biến</x:t>
  </x:si>
  <x:si>
    <x:t xml:space="preserve">Mức làm xấu</x:t>
  </x:si>
  <x:si>
    <x:t xml:space="preserve">Có thể đổi thành 10% hoặc 30% để thử</x:t>
  </x:si>
  <x:si>
    <x:t xml:space="preserve">Biến làm xấu</x:t>
  </x:si>
  <x:si>
    <x:t xml:space="preserve">Giá trị cơ sở</x:t>
  </x:si>
  <x:si>
    <x:t xml:space="preserve">Giá trị sau khi làm xấu</x:t>
  </x:si>
  <x:si>
    <x:t xml:space="preserve">Giá trị hiện tại ròng 24 tháng (triệu đồng)</x:t>
  </x:si>
  <x:si>
    <x:t xml:space="preserve">Chênh lệch so với cơ sở (triệu đồng)</x:t>
  </x:si>
  <x:si>
    <x:t xml:space="preserve">Tháng hoàn vốn</x:t>
  </x:si>
  <x:si>
    <x:t xml:space="preserve">Mức nguy hiểm (1 = nhất)</x:t>
  </x:si>
  <x:si>
    <x:t xml:space="preserve">Không đổi (cơ sở)</x:t>
  </x:si>
  <x:si>
    <x:t xml:space="preserve">—</x:t>
  </x:si>
  <x:si>
    <x:t xml:space="preserve">Doanh thu bình quân giảm</x:t>
  </x:si>
  <x:si>
    <x:t xml:space="preserve">Chi phí AI tăng</x:t>
  </x:si>
  <x:si>
    <x:t xml:space="preserve">Tỷ lệ rời bỏ tăng</x:t>
  </x:si>
  <x:si>
    <x:t xml:space="preserve">Chi phí có một khách tăng</x:t>
  </x:si>
  <x:si>
    <x:t xml:space="preserve">Khách mới tháng đầu giảm</x:t>
  </x:si>
  <x:si>
    <x:t xml:space="preserve">Tăng trưởng khách mới giảm</x:t>
  </x:si>
  <x:si>
    <x:t xml:space="preserve">Chi phí cố định tăng</x:t>
  </x:si>
  <x:si>
    <x:t xml:space="preserve">Biến nguy hiểm nhất</x:t>
  </x:si>
  <x:si>
    <x:t xml:space="preserve">Tình huống: khách dùng nhiều bỏ đi, thay bằng khách thường</x:t>
  </x:si>
  <x:si>
    <x:t xml:space="preserve">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x:t>
  </x:si>
  <x:si>
    <x:t xml:space="preserve">MỨC CẢNH BÁO TỰ TÍNH (kịch bản cơ sở): chép vào cột [TỰ TÍNH] của bảng theo dõi Ngày 23. Nếu giá trị hiện tại ròng cơ sở (D57) đang âm, cột C là mức PHẢI ĐẠT để hoà vốn, chưa phải mức cảnh báo.</x:t>
  </x:si>
  <x:si>
    <x:t xml:space="preserve">Cơ sở hiện tại</x:t>
  </x:si>
  <x:si>
    <x:t xml:space="preserve">Mức hoà vốn (giá trị hiện tại ròng 24 tháng = 0)</x:t>
  </x:si>
  <x:si>
    <x:t xml:space="preserve">Còn cách (so với hiện tại)</x:t>
  </x:si>
  <x:si>
    <x:t xml:space="preserve">Cách dùng trong bảng theo dõi Ngày 23</x:t>
  </x:si>
  <x:si>
    <x:t xml:space="preserve">Doanh thu bình quân / khách / tháng (VND)</x:t>
  </x:si>
  <x:si>
    <x:t xml:space="preserve">Dưới mức này là "nguy"</x:t>
  </x:si>
  <x:si>
    <x:t xml:space="preserve">Dưới mức này là "nguy". Ngày 22 nói 60%: đây là con số của chính mô hình</x:t>
  </x:si>
  <x:si>
    <x:t xml:space="preserve">Chi phí có một khách tối đa (VND)</x:t>
  </x:si>
  <x:si>
    <x:t xml:space="preserve">Khách mới tháng đầu tối thiểu</x:t>
  </x:si>
  <x:si>
    <x:t xml:space="preserve">Chỉ số báo sớm: số cửa hàng ký mới mỗi tháng</x:t>
  </x:si>
  <x:si>
    <x:t xml:space="preserve">Chi phí cố định tối đa / tháng (VND)</x:t>
  </x:si>
  <x:si>
    <x:t xml:space="preserve">Trần chi cho đội và văn phòng</x:t>
  </x:si>
  <x:si>
    <x:t xml:space="preserve">Tỷ lệ chia doanh thu cho đối tác tối đa</x:t>
  </x:si>
  <x:si>
    <x:t xml:space="preserve">Trần khi đàm phán với đối tác. Ngày 23 chỉ đòi biên sau chia trên 50%</x:t>
  </x:si>
  <x:si>
    <x:t xml:space="preserve">BẢNG TÍNH PHỤ CHO ĐỘ NHẠY — đã ẩn, không cần đọc</x:t>
  </x:si>
  <x:si>
    <x:t xml:space="preserve">Kịch bản</x:t>
  </x:si>
  <x:si>
    <x:t xml:space="preserve">Doanh thu bình quân</x:t>
  </x:si>
  <x:si>
    <x:t xml:space="preserve">Chi phí AI / khách</x:t>
  </x:si>
  <x:si>
    <x:t xml:space="preserve">Khách mới tháng 1</x:t>
  </x:si>
  <x:si>
    <x:t xml:space="preserve">Tăng trưởng</x:t>
  </x:si>
  <x:si>
    <x:t xml:space="preserve">Tỷ lệ rời bỏ</x:t>
  </x:si>
  <x:si>
    <x:t xml:space="preserve">Chi phí có khách</x:t>
  </x:si>
  <x:si>
    <x:t xml:space="preserve">Chi phí xây dựng</x:t>
  </x:si>
  <x:si>
    <x:t xml:space="preserve">Tiền mặt</x:t>
  </x:si>
  <x:si>
    <x:t xml:space="preserve">Lãi suất</x:t>
  </x:si>
  <x:si>
    <x:t xml:space="preserve">KB0 · Không đổi (cơ sở)</x:t>
  </x:si>
  <x:si>
    <x:t xml:space="preserve">KB1 · Doanh thu bình quân giảm</x:t>
  </x:si>
  <x:si>
    <x:t xml:space="preserve">KB2 · Chi phí AI tăng</x:t>
  </x:si>
  <x:si>
    <x:t xml:space="preserve">KB3 · Tỷ lệ rời bỏ tăng</x:t>
  </x:si>
  <x:si>
    <x:t xml:space="preserve">KB4 · Chi phí có một khách tăng</x:t>
  </x:si>
  <x:si>
    <x:t xml:space="preserve">KB5 · Khách mới tháng đầu giảm</x:t>
  </x:si>
  <x:si>
    <x:t xml:space="preserve">KB6 · Tăng trưởng khách mới giảm</x:t>
  </x:si>
  <x:si>
    <x:t xml:space="preserve">KB7 · Chi phí cố định tăng</x:t>
  </x:si>
  <x:si>
    <x:t xml:space="preserve">KB8 · Tình huống: khách dùng nhiều bỏ đi, thay bằng khách thường</x:t>
  </x:si>
  <x:si>
    <x:t xml:space="preserve">KB0 · Khách mới</x:t>
  </x:si>
  <x:si>
    <x:t xml:space="preserve">KB0 · Khách đang dùng</x:t>
  </x:si>
  <x:si>
    <x:t xml:space="preserve">KB0 · Dòng tiền ròng</x:t>
  </x:si>
  <x:si>
    <x:t xml:space="preserve">KB0 · Tiền mặt cuối kỳ</x:t>
  </x:si>
  <x:si>
    <x:t xml:space="preserve">KB0 · Dòng tiền lũy kế</x:t>
  </x:si>
  <x:si>
    <x:t xml:space="preserve">KB1 · Khách mới</x:t>
  </x:si>
  <x:si>
    <x:t xml:space="preserve">KB1 · Khách đang dùng</x:t>
  </x:si>
  <x:si>
    <x:t xml:space="preserve">KB1 · Dòng tiền ròng</x:t>
  </x:si>
  <x:si>
    <x:t xml:space="preserve">KB1 · Tiền mặt cuối kỳ</x:t>
  </x:si>
  <x:si>
    <x:t xml:space="preserve">KB1 · Dòng tiền lũy kế</x:t>
  </x:si>
  <x:si>
    <x:t xml:space="preserve">KB2 · Khách mới</x:t>
  </x:si>
  <x:si>
    <x:t xml:space="preserve">KB2 · Khách đang dùng</x:t>
  </x:si>
  <x:si>
    <x:t xml:space="preserve">KB2 · Dòng tiền ròng</x:t>
  </x:si>
  <x:si>
    <x:t xml:space="preserve">KB2 · Tiền mặt cuối kỳ</x:t>
  </x:si>
  <x:si>
    <x:t xml:space="preserve">KB2 · Dòng tiền lũy kế</x:t>
  </x:si>
  <x:si>
    <x:t xml:space="preserve">KB3 · Khách mới</x:t>
  </x:si>
  <x:si>
    <x:t xml:space="preserve">KB3 · Khách đang dùng</x:t>
  </x:si>
  <x:si>
    <x:t xml:space="preserve">KB3 · Dòng tiền ròng</x:t>
  </x:si>
  <x:si>
    <x:t xml:space="preserve">KB3 · Tiền mặt cuối kỳ</x:t>
  </x:si>
  <x:si>
    <x:t xml:space="preserve">KB3 · Dòng tiền lũy kế</x:t>
  </x:si>
  <x:si>
    <x:t xml:space="preserve">KB4 · Khách mới</x:t>
  </x:si>
  <x:si>
    <x:t xml:space="preserve">KB4 · Khách đang dùng</x:t>
  </x:si>
  <x:si>
    <x:t xml:space="preserve">KB4 · Dòng tiền ròng</x:t>
  </x:si>
  <x:si>
    <x:t xml:space="preserve">KB4 · Tiền mặt cuối kỳ</x:t>
  </x:si>
  <x:si>
    <x:t xml:space="preserve">KB4 · Dòng tiền lũy kế</x:t>
  </x:si>
  <x:si>
    <x:t xml:space="preserve">KB5 · Khách mới</x:t>
  </x:si>
  <x:si>
    <x:t xml:space="preserve">KB5 · Khách đang dùng</x:t>
  </x:si>
  <x:si>
    <x:t xml:space="preserve">KB5 · Dòng tiền ròng</x:t>
  </x:si>
  <x:si>
    <x:t xml:space="preserve">KB5 · Tiền mặt cuối kỳ</x:t>
  </x:si>
  <x:si>
    <x:t xml:space="preserve">KB5 · Dòng tiền lũy kế</x:t>
  </x:si>
  <x:si>
    <x:t xml:space="preserve">KB6 · Khách mới</x:t>
  </x:si>
  <x:si>
    <x:t xml:space="preserve">KB6 · Khách đang dùng</x:t>
  </x:si>
  <x:si>
    <x:t xml:space="preserve">KB6 · Dòng tiền ròng</x:t>
  </x:si>
  <x:si>
    <x:t xml:space="preserve">KB6 · Tiền mặt cuối kỳ</x:t>
  </x:si>
  <x:si>
    <x:t xml:space="preserve">KB6 · Dòng tiền lũy kế</x:t>
  </x:si>
  <x:si>
    <x:t xml:space="preserve">KB7 · Khách mới</x:t>
  </x:si>
  <x:si>
    <x:t xml:space="preserve">KB7 · Khách đang dùng</x:t>
  </x:si>
  <x:si>
    <x:t xml:space="preserve">KB7 · Dòng tiền ròng</x:t>
  </x:si>
  <x:si>
    <x:t xml:space="preserve">KB7 · Tiền mặt cuối kỳ</x:t>
  </x:si>
  <x:si>
    <x:t xml:space="preserve">KB7 · Dòng tiền lũy kế</x:t>
  </x:si>
  <x:si>
    <x:t xml:space="preserve">KB8 · Khách mới</x:t>
  </x:si>
  <x:si>
    <x:t xml:space="preserve">KB8 · Khách đang dùng</x:t>
  </x:si>
  <x:si>
    <x:t xml:space="preserve">KB8 · Dòng tiền ròng</x:t>
  </x:si>
  <x:si>
    <x:t xml:space="preserve">KB8 · Tiền mặt cuối kỳ</x:t>
  </x:si>
  <x:si>
    <x:t xml:space="preserve">KB8 · Dòng tiền lũy kế</x:t>
  </x:si>
  <x:si>
    <x:t xml:space="preserve">6 · Hiệu quả dự án AI dùng trong nội bộ (khi sản phẩm phục vụ chính công ty)</x:t>
  </x:si>
  <x:si>
    <x:t xml:space="preserve">Hiệu quả = (giá trị tạo ra − chi phí vận hành) so với chi phí đầu tư một lần. Không dùng thay cho trang 3–5 nếu sản phẩm bán ra thị trường.</x:t>
  </x:si>
  <x:si>
    <x:t xml:space="preserve">Lưu ý: giờ tiết kiệm chỉ thành tiền khi được dùng vào việc khác hoặc giúp giảm tuyển mới. Nếu không, chỉ ghi phần đo được ở dòng 9 và nói rõ lý do.</x:t>
  </x:si>
  <x:si>
    <x:t xml:space="preserve">Số nhân sự dùng công cụ</x:t>
  </x:si>
  <x:si>
    <x:t xml:space="preserve">người</x:t>
  </x:si>
  <x:si>
    <x:t xml:space="preserve">Số người sẽ dùng công cụ. Bản mẫu: 30 (1 phòng ban).</x:t>
  </x:si>
  <x:si>
    <x:t xml:space="preserve">Giờ tiết kiệm / người / tuần (chỉ tính giờ được dùng vào việc khác hoặc giúp giảm tuyển)</x:t>
  </x:si>
  <x:si>
    <x:t xml:space="preserve">giờ</x:t>
  </x:si>
  <x:si>
    <x:t xml:space="preserve">Chỉ tính giờ được dùng vào việc khác hoặc giúp giảm tuyển. Đo bằng thử nghiệm. Bản mẫu: 5 / 3 / 1,5.</x:t>
  </x:si>
  <x:si>
    <x:t xml:space="preserve">Tỷ lệ người dùng thật</x:t>
  </x:si>
  <x:si>
    <x:t xml:space="preserve">Người dùng đều đặn ÷ tổng số người. Bản mẫu: 80% / 60% / 35%.</x:t>
  </x:si>
  <x:si>
    <x:t xml:space="preserve">Chi phí 1 giờ công (gồm phúc lợi)</x:t>
  </x:si>
  <x:si>
    <x:t xml:space="preserve">Lương + bảo hiểm + phúc lợi ÷ số giờ làm. Bản mẫu: 120.000.</x:t>
  </x:si>
  <x:si>
    <x:t xml:space="preserve">Giá trị khác / tháng (doanh thu tăng, giảm lỗi…)</x:t>
  </x:si>
  <x:si>
    <x:t xml:space="preserve">Chỉ đưa vào nếu đo được. Bản mẫu: 10 / 5 / 0 triệu.</x:t>
  </x:si>
  <x:si>
    <x:t xml:space="preserve">Chi phí xây dựng một lần</x:t>
  </x:si>
  <x:si>
    <x:t xml:space="preserve">VND (một lần)</x:t>
  </x:si>
  <x:si>
    <x:t xml:space="preserve">Bản mẫu: 400 / 400 / 500 triệu.</x:t>
  </x:si>
  <x:si>
    <x:t xml:space="preserve">Chi phí thay đổi quy trình &amp; đào tạo (một lần)</x:t>
  </x:si>
  <x:si>
    <x:t xml:space="preserve">Khoản hay bị quên. Bản mẫu: 50 / 60 / 80 triệu.</x:t>
  </x:si>
  <x:si>
    <x:t xml:space="preserve">Chi phí vận hành / tháng (API, hạ tầng, bảo trì)</x:t>
  </x:si>
  <x:si>
    <x:t xml:space="preserve">Gọi AI + hạ tầng + bảo trì. Bản mẫu: 15 / 18 / 25 triệu.</x:t>
  </x:si>
  <x:si>
    <x:t xml:space="preserve">Giả định của lớp: chi phí vốn</x:t>
  </x:si>
  <x:si>
    <x:t xml:space="preserve">Kết quả</x:t>
  </x:si>
  <x:si>
    <x:t xml:space="preserve">Giá trị tạo ra / tháng</x:t>
  </x:si>
  <x:si>
    <x:t xml:space="preserve">Lợi ích ròng / tháng</x:t>
  </x:si>
  <x:si>
    <x:t xml:space="preserve">Đầu tư một lần</x:t>
  </x:si>
  <x:si>
    <x:t xml:space="preserve">Thời gian hoàn vốn</x:t>
  </x:si>
  <x:si>
    <x:t xml:space="preserve">Hiệu quả đầu tư sau 12 tháng (ROI)</x:t>
  </x:si>
  <x:si>
    <x:t xml:space="preserve">Giá trị hiện tại ròng 24 tháng</x:t>
  </x:si>
  <x:si>
    <x:t xml:space="preserve">Đánh giá nhanh</x:t>
  </x:si>
  <x:si>
    <x:t xml:space="preserve">Hoàn vốn dưới 12 tháng: Làm · hoàn vốn được nhưng chậm: thử ở 1 phòng ban để đo tỷ lệ người dùng thật · không hoàn vốn: Dừng</x:t>
  </x:si>
  <x:si>
    <x:t xml:space="preserve">7 · Tự kiểm tra và ghi chú quyết định</x:t>
  </x:si>
  <x:si>
    <x:t xml:space="preserve">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x:t>
  </x:si>
  <x:si>
    <x:t xml:space="preserve">Điểm kiểm tra</x:t>
  </x:si>
  <x:si>
    <x:t xml:space="preserve">Kết quả (cơ sở)</x:t>
  </x:si>
  <x:si>
    <x:t xml:space="preserve">Đạt?</x:t>
  </x:si>
  <x:si>
    <x:t xml:space="preserve">Phần chìm ≥ 30% chi phí gọi AI</x:t>
  </x:si>
  <x:si>
    <x:t xml:space="preserve">Biên lợi nhuận gộp bình quân ≥ 60% (gói kết hợp)</x:t>
  </x:si>
  <x:si>
    <x:t xml:space="preserve">LTV ÷ CAC &gt; 3 (cơ sở)</x:t>
  </x:si>
  <x:si>
    <x:t xml:space="preserve">Hoàn vốn chi phí có khách &lt; 12 tháng (cơ sở)</x:t>
  </x:si>
  <x:si>
    <x:t xml:space="preserve">Kịch bản xấu: rời bỏ và chi phí có khách đủ sốc (≥ 1,5 lần)</x:t>
  </x:si>
  <x:si>
    <x:t xml:space="preserve">Kịch bản xấu: tháng hết tiền</x:t>
  </x:si>
  <x:si>
    <x:t xml:space="preserve">Giá trị hiện tại ròng 24 tháng (cơ sở)</x:t>
  </x:si>
  <x:si>
    <x:t xml:space="preserve">Biến nguy hiểm nhất (bảng độ nhạy, trang 5)</x:t>
  </x:si>
  <x:si>
    <x:t xml:space="preserve">GHI CHÚ QUYẾT ĐỊNH: 5 câu, mỗi câu 1–3 câu văn, cả phần khoảng 200 chữ. Nhóm viết vào ô vàng dưới mỗi câu hỏi.</x:t>
  </x:si>
  <x:si>
    <x:t xml:space="preserve">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x:t>
  </x:si>
  <x:si>
    <x:t xml:space="preserve">2. Giá bán và cách tính tiền đã chọn — vì sao khách chấp nhận mức đó?</x:t>
  </x:si>
  <x:si>
    <x:t xml:space="preserve">3. Biến số nguy hiểm nhất (theo bảng độ nhạy ở trang 5) và cách theo dõi.</x:t>
  </x:si>
  <x:si>
    <x:t xml:space="preserve">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x:t>
  </x:si>
  <x:si>
    <x:t xml:space="preserve">5. Mức cảnh báo tự tính (trang 5, dòng 72–77) đã điền vào bảng theo dõi Ngày 23 thế nào? Chưa có bảng Ngày 23: chép các mức đó, ghi mức nào là "nguy", mức nào "đáng lo", và ai theo dõi hằng tuần.</x:t>
  </x:si>
  <x:si>
    <x:t xml:space="preserve">8 · Thang điểm (100 điểm)</x:t>
  </x:si>
  <x:si>
    <x:t xml:space="preserve">Trừ điểm: số bịa không có nguồn, chỉ 1 kịch bản, nhầm doanh thu với lợi nhuận.</x:t>
  </x:si>
  <x:si>
    <x:t xml:space="preserve">Tiêu chí</x:t>
  </x:si>
  <x:si>
    <x:t xml:space="preserve">Điểm</x:t>
  </x:si>
  <x:si>
    <x:t xml:space="preserve">Bài đạt khi</x:t>
  </x:si>
  <x:si>
    <x:t xml:space="preserve">Điểm (giảng viên chấm, nhóm không điền)</x:t>
  </x:si>
  <x:si>
    <x:t xml:space="preserve">Bài tập tài chính căn bản</x:t>
  </x:si>
  <x:si>
    <x:t xml:space="preserve">Ba báo cáo đúng và khớp: bảng cân đối cân, tiền cuối kỳ khớp, trả lời đúng câu 1–3</x:t>
  </x:si>
  <x:si>
    <x:t xml:space="preserve">Chi phí mỗi việc đầy đủ</x:t>
  </x:si>
  <x:si>
    <x:t xml:space="preserve">≥ 4 nhóm chi phí; chỉ gồm chi phí phục vụ (không lẫn R&amp;D, bán hàng); có tên mô hình và ngày tra giá</x:t>
  </x:si>
  <x:si>
    <x:t xml:space="preserve">Giá sống được trong mô hình</x:t>
  </x:si>
  <x:si>
    <x:t xml:space="preserve">Giá lấy từ bài Ngày 22 và qua ba phép thử: neo lương 50–70%, tiền AI của khách dùng nhiều, biên sau chia đối tác</x:t>
  </x:si>
  <x:si>
    <x:t xml:space="preserve">Chỉ số trên mỗi khách</x:t>
  </x:si>
  <x:si>
    <x:t xml:space="preserve">Công thức đúng; LTV tính trên lợi nhuận gộp; tỷ lệ rời bỏ và chi phí có khách có nguồn hoặc lý do rõ</x:t>
  </x:si>
  <x:si>
    <x:t xml:space="preserve">3 kịch bản và độ nhạy</x:t>
  </x:si>
  <x:si>
    <x:t xml:space="preserve">Kịch bản xấu là cú sốc thật; đọc bảng độ nhạy và chỉ ra biến số nguy hiểm nhất</x:t>
  </x:si>
  <x:si>
    <x:t xml:space="preserve">Ghi chú quyết định và mức cảnh báo</x:t>
  </x:si>
  <x:si>
    <x:t xml:space="preserve">Quyết định rõ, bảo vệ bằng số; luật xử lý theo khuôn Ngày 23; mức cảnh báo tự tính đưa vào bảng Ngày 23</x:t>
  </x:si>
  <x:si>
    <x:t xml:space="preserve">TỔNG</x:t>
  </x:si>
  <x:si>
    <x:t xml:space="preserve">Điểm thưởng: dùng số thật từ buổi trước (trang 0)</x:t>
  </x:si>
  <x:si>
    <x:t xml:space="preserve">tối đa 10</x:t>
  </x:si>
  <x:si>
    <x:t xml:space="preserve">2 điểm/đầu vào đã có và thật sự được dùng; tổng điểm không quá 100</x:t>
  </x:si>
  <x:si>
    <x:t xml:space="preserve">THANG ĐIỂM TRÌNH BÀY (1–5 điểm mỗi tiêu chí)</x:t>
  </x:si>
  <x:si>
    <x:t xml:space="preserve">Mức 1</x:t>
  </x:si>
  <x:si>
    <x:t xml:space="preserve">Mức 3</x:t>
  </x:si>
  <x:si>
    <x:t xml:space="preserve">Mức 5</x:t>
  </x:si>
  <x:si>
    <x:t xml:space="preserve">Rõ ràng</x:t>
  </x:si>
  <x:si>
    <x:t xml:space="preserve">Câu đầu chưa có quyết định; người nghe phải đoán nhóm đề xuất gì</x:t>
  </x:si>
  <x:si>
    <x:t xml:space="preserve">Có quyết định nhưng nói sau phần mở đầu, hoặc thiếu giá bán</x:t>
  </x:si>
  <x:si>
    <x:t xml:space="preserve">Câu đầu tiên có quyết định, giá bán và 1 lý do</x:t>
  </x:si>
  <x:si>
    <x:t xml:space="preserve">Bằng chứng</x:t>
  </x:si>
  <x:si>
    <x:t xml:space="preserve">Con số không có nguồn, hoặc chỉ có kịch bản cơ sở</x:t>
  </x:si>
  <x:si>
    <x:t xml:space="preserve">Có số chính và nguồn, nhưng thiếu kịch bản xấu hoặc biến nguy hiểm nhất</x:t>
  </x:si>
  <x:si>
    <x:t xml:space="preserve">Đủ chi phí mỗi việc, biên lợi nhuận, LTV ÷ CAC, kịch bản xấu; số nào cũng có nguồn hoặc lý do</x:t>
  </x:si>
  <x:si>
    <x:t xml:space="preserve">Trả lời phản biện</x:t>
  </x:si>
  <x:si>
    <x:t xml:space="preserve">Né câu hỏi hoặc trả lời chung chung</x:t>
  </x:si>
  <x:si>
    <x:t xml:space="preserve">Trả lời đúng ý nhưng không dẫn số</x:t>
  </x:si>
  <x:si>
    <x:t xml:space="preserve">Trả lời thẳng, dẫn đúng con số trong file</x:t>
  </x:si>
  <x:si>
    <x:t xml:space="preserve">Đúng giờ</x:t>
  </x:si>
  <x:si>
    <x:t xml:space="preserve">Quá 4 phút</x:t>
  </x:si>
  <x:si>
    <x:t xml:space="preserve">Từ 3 đến 4 phút</x:t>
  </x:si>
  <x:si>
    <x:t xml:space="preserve">Không quá 3 phút</x:t>
  </x:si>
  <x:si>
    <x:t xml:space="preserve">Mức 2 và 4 dùng khi bài nằm giữa hai mô tả. Điểm buổi = 60% sản phẩm + 40% trình bày (60% giảng viên + 40% các nhóm khác chấm, không tự chấm nhóm mình).</x:t>
  </x:si>
  <x:si>
    <x:t xml:space="preserve">9 · Số tham khảo đã kiểm chứng (tra ngày 04/10/2026)</x:t>
  </x:si>
  <x:si>
    <x:t xml:space="preserve">Giá thay đổi thường xuyên: trước khi dùng, mở lại đường dẫn và ghi ngày tra của nhóm. Số nào không có trong bảng, nhóm tự tìm nguồn hoặc ghi lý do.</x:t>
  </x:si>
  <x:si>
    <x:t xml:space="preserve">Mô hình AI</x:t>
  </x:si>
  <x:si>
    <x:t xml:space="preserve">Đầu vào (USD / 1 triệu token)</x:t>
  </x:si>
  <x:si>
    <x:t xml:space="preserve">Đầu ra (USD / 1 triệu token)</x:t>
  </x:si>
  <x:si>
    <x:t xml:space="preserve">Nguồn chính thức</x:t>
  </x:si>
  <x:si>
    <x:t xml:space="preserve">OpenAI GPT-6 Luna</x:t>
  </x:si>
  <x:si>
    <x:t xml:space="preserve">https://developers.openai.com/api/docs/pricing</x:t>
  </x:si>
  <x:si>
    <x:t xml:space="preserve">Mức Standard, ngữ cảnh ngắn</x:t>
  </x:si>
  <x:si>
    <x:t xml:space="preserve">OpenAI GPT-6 Sol</x:t>
  </x:si>
  <x:si>
    <x:t xml:space="preserve">https://openai.com/index/introducing-gpt-6-sol-and-luna/</x:t>
  </x:si>
  <x:si>
    <x:t xml:space="preserve">Mức Standard</x:t>
  </x:si>
  <x:si>
    <x:t xml:space="preserve">Anthropic Claude Haiku 4.5</x:t>
  </x:si>
  <x:si>
    <x:t xml:space="preserve">https://platform.claude.com/docs/en/models/haiku-4-5/overview</x:t>
  </x:si>
  <x:si>
    <x:t xml:space="preserve">Anthropic Claude Sonnet 5.5</x:t>
  </x:si>
  <x:si>
    <x:t xml:space="preserve">Bảng so sánh trên cùng trang</x:t>
  </x:si>
  <x:si>
    <x:t xml:space="preserve">Số liệu Việt Nam</x:t>
  </x:si>
  <x:si>
    <x:t xml:space="preserve">Nguồn</x:t>
  </x:si>
  <x:si>
    <x:t xml:space="preserve">Tỷ giá USD bán ra Vietcombank</x:t>
  </x:si>
  <x:si>
    <x:t xml:space="preserve">https://thanhnien.vn/gia-usd-hom-nay-4102026-bien-dong-nhe-trong-tuan-khi-euro-bang-anh-tiep-tuc-giam-185261003210750485.htm</x:t>
  </x:si>
  <x:si>
    <x:t xml:space="preserve">Báo chí đưa tin sáng 04/10/2026; đối chiếu trang Vietcombank khi dùng</x:t>
  </x:si>
  <x:si>
    <x:t xml:space="preserve">Tỷ giá trung tâm Ngân hàng Nhà nước</x:t>
  </x:si>
  <x:si>
    <x:t xml:space="preserve">https://qdnd.vn/kinh-te/tin-tuc/ty-gia-usd-hom-nay-4-10-dong-usd-tang-tuan-thu-ba-lien-tiep-1059250</x:t>
  </x:si>
  <x:si>
    <x:t xml:space="preserve">Báo QĐND đưa tin ngày 04/10/2026</x:t>
  </x:si>
  <x:si>
    <x:t xml:space="preserve">Lương tối thiểu tháng, vùng I (Hà Nội, TP.HCM)</x:t>
  </x:si>
  <x:si>
    <x:t xml:space="preserve">https://xaydungchinhsach.chinhphu.vn/tu-1-1-2026-muc-luong-toi-thieu-duoc-tang-bao-nhieu-119251111091442629.htm</x:t>
  </x:si>
  <x:si>
    <x:t xml:space="preserve">Nghị định 293/2025/NĐ-CP, hiệu lực 01/01/2026</x:t>
  </x:si>
  <x:si>
    <x:t xml:space="preserve">Lương tối thiểu giờ, vùng I</x:t>
  </x:si>
  <x:si>
    <x:t xml:space="preserve">Nghị định 293/2025/NĐ-CP; là mức sàn, chưa gồm bảo hiểm</x:t>
  </x:si>
  <x:si>
    <x:t xml:space="preserve">Số KHÔNG có trong bảng</x:t>
  </x:si>
  <x:si>
    <x:t xml:space="preserve">Cách xử lý</x:t>
  </x:si>
  <x:si>
    <x:t xml:space="preserve">Tỷ lệ rời bỏ, chi phí có một khách của SME Việt Nam</x:t>
  </x:si>
  <x:si>
    <x:t xml:space="preserve">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x:t>
  </x:si>
  <x:si>
    <x:t xml:space="preserve">LTV ÷ CAC &gt; 3, hoàn vốn chi phí có khách &lt; 12 tháng</x:t>
  </x:si>
  <x:si>
    <x:t xml:space="preserve">Ngưỡng tham khảo phổ biến trong ngành phần mềm thuê bao; lớp chưa kiểm chứng nguồn sơ cấp. Dùng để đọc kết quả, không phải luật.</x:t>
  </x:si>
  <x:si>
    <x:t xml:space="preserve">Giá sàn gấp 3 lần chi phí mỗi việc; phần chìm ≥ 30% chi phí gọi AI</x:t>
  </x:si>
  <x:si>
    <x:t xml:space="preserve">Kinh nghiệm của giảng viên, không phải chuẩn ngành.</x:t>
  </x:si>
  <x:si>
    <x:t xml:space="preserve">Ngưỡng nghe ở Ngày 22–23</x:t>
  </x:si>
  <x:si>
    <x:t xml:space="preserve">Cách dùng hôm nay</x:t>
  </x:si>
  <x:si>
    <x:t xml:space="preserve">Biên lợi nhuận gộp ≥ 60%, dưới 50% là nguy (Ngày 22, slide 8)</x:t>
  </x:si>
  <x:si>
    <x:t xml:space="preserve">Diễn giả nêu, không kèm nguồn. Ngày 23 (slide 34) dẫn số thực đo của công ty AI chỉ 45–53% — chưa kiểm chứng. Dùng mức tối thiểu tự tính ở trang 5.</x:t>
  </x:si>
  <x:si>
    <x:t xml:space="preserve">Neo giá ở 50–70% lương người được thay (Ngày 22, slide 9)</x:t>
  </x:si>
  <x:si>
    <x:t xml:space="preserve">Kinh nghiệm diễn giả. Dùng làm phép thử ở trang 2, không phải luật.</x:t>
  </x:si>
  <x:si>
    <x:t xml:space="preserve">Ranh giới bán tự phục vụ dưới 50 USD, bán trực tiếp trên 1.000 USD mỗi tháng (Ngày 22, slide 17–18)</x:t>
  </x:si>
  <x:si>
    <x:t xml:space="preserve">Ngưỡng của thị trường Mỹ. Ranh giới của nhóm là chi phí có một khách tối đa tự tính ở trang 5.</x:t>
  </x:si>
  <x:si>
    <x:t xml:space="preserve">GitHub Copilot thu 10 USD, chi 80 USD, lỗ 70 USD mỗi người (Ngày 22, slide 3)</x:t>
  </x:si>
  <x:si>
    <x:t xml:space="preserve">WSJ 10/2023 đưa tin lỗ trung bình khoảng 20 USD/người/tháng; 80 USD là mức của một số người dùng nặng. Theo bản tóm tắt của AI Business, chưa đọc bài gốc WSJ.</x:t>
  </x:si>
  <x:si>
    <x:t xml:space="preserve">Nhãn nguồn [NGÀNH] · [TỰ TÍNH] · [TỰ ĐO] (Ngày 23, slide 11)</x:t>
  </x:si>
  <x:si>
    <x:t xml:space="preserve">Dùng ba nhãn này trong cột "Nguồn / lý do". Số chưa có nguồn, chưa đo: ghi "Giả định: … vì …", không gắn [NGÀNH].</x:t>
  </x:si>
</x:sst>
</file>

<file path=xl/styles.xml><?xml version="1.0" encoding="utf-8"?>
<x:styleSheet xmlns:x="http://schemas.openxmlformats.org/spreadsheetml/2006/main">
  <x:numFmts count="12">
    <x:numFmt numFmtId="41" formatCode="_(* #,##0_);_(* \(#,##0\);_(* &quot;-&quot;_);_(@_)"/>
    <x:numFmt numFmtId="42" formatCode="_(&quot;$&quot;* #,##0_);_(&quot;$&quot;* \(#,##0\);_(&quot;$&quot;* &quot;-&quot;_);_(@_)"/>
    <x:numFmt numFmtId="43" formatCode="_(* #,##0.00_);_(* \(#,##0.00\);_(* &quot;-&quot;??_);_(@_)"/>
    <x:numFmt numFmtId="44" formatCode="_(&quot;$&quot;* #,##0.00_);_(&quot;$&quot;* \(#,##0.00\);_(&quot;$&quot;* &quot;-&quot;??_);_(@_)"/>
    <x:numFmt numFmtId="176" formatCode="0.0%"/>
    <x:numFmt numFmtId="177" formatCode="0.00\x"/>
    <x:numFmt numFmtId="178" formatCode="0.0&quot; tháng&quot;"/>
    <x:numFmt numFmtId="179" formatCode="&quot;Tháng &quot;0"/>
    <x:numFmt numFmtId="180" formatCode="#,##0;[Red]\-#,##0"/>
    <x:numFmt numFmtId="181" formatCode="#,##0.0"/>
    <x:numFmt numFmtId="182" formatCode="#,##0.0;[Red]\-#,##0.0"/>
    <x:numFmt numFmtId="183" formatCode="#,##0.##"/>
  </x:numFmts>
  <x:fonts count="34">
    <x:font>
      <x:sz val="11"/>
      <x:color theme="1"/>
      <x:name val="Calibri"/>
    </x:font>
    <x:font>
      <x:b/>
      <x:sz val="12"/>
      <x:name val="Cambria"/>
    </x:font>
    <x:font>
      <x:i/>
      <x:sz val="10"/>
      <x:color rgb="FF595959"/>
      <x:name val="Calibri"/>
    </x:font>
    <x:font>
      <x:b/>
      <x:sz val="11"/>
      <x:color rgb="FFFFFFFF"/>
      <x:name val="Cambria"/>
    </x:font>
    <x:font>
      <x:sz val="11"/>
      <x:name val="Calibri"/>
    </x:font>
    <x:font>
      <x:b/>
      <x:sz val="14"/>
      <x:name val="Cambria"/>
    </x:font>
    <x:font>
      <x:i/>
      <x:sz val="11"/>
      <x:color rgb="FF595959"/>
      <x:name val="Cambria"/>
    </x:font>
    <x:font>
      <x:b/>
      <x:sz val="11"/>
      <x:name val="Cambria"/>
    </x:font>
    <x:font>
      <x:b/>
      <x:sz val="11"/>
      <x:color rgb="FFC00000"/>
      <x:name val="Calibri"/>
    </x:font>
    <x:font>
      <x:b/>
      <x:sz val="11"/>
      <x:color rgb="FFC00000"/>
      <x:name val="Cambria"/>
    </x:font>
    <x:font>
      <x:b/>
      <x:sz val="11"/>
      <x:name val="Calibri"/>
    </x:font>
    <x:font>
      <x:sz val="10"/>
      <x:color rgb="FF808080"/>
      <x:name val="Calibri"/>
    </x:font>
    <x:font>
      <x:i/>
      <x:sz val="11"/>
      <x:color rgb="FF595959"/>
      <x:name val="Calibri"/>
    </x:font>
    <x:font>
      <x:sz val="10"/>
      <x:name val="Arial"/>
    </x:font>
    <x:font>
      <x:sz val="11"/>
      <x:color rgb="FF0000FF"/>
      <x:name val="Calibri"/>
    </x:font>
    <x:font>
      <x:sz val="11"/>
      <x:color rgb="FF800080"/>
      <x:name val="Calibri"/>
    </x:font>
    <x:font>
      <x:sz val="11"/>
      <x:color theme="1"/>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7">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E2EFDA"/>
      </x:patternFill>
    </x:fill>
    <x:fill>
      <x:patternFill patternType="solid">
        <x:fgColor rgb="FFD9E1F2"/>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BFBFBF"/>
      </x:left>
      <x:right style="thin">
        <x:color rgb="FFBFBFBF"/>
      </x:right>
      <x:top style="thin">
        <x:color rgb="FFBFBFBF"/>
      </x:top>
      <x:bottom style="thin">
        <x:color rgb="FFBFBFBF"/>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13" fillId="0" borderId="0" applyBorder="0" applyAlignment="0" applyProtection="0"/>
    <x:xf numFmtId="44" fontId="13" fillId="0" borderId="0" applyBorder="0" applyAlignment="0" applyProtection="0"/>
    <x:xf numFmtId="9" fontId="13" fillId="0" borderId="0" applyBorder="0" applyAlignment="0" applyProtection="0"/>
    <x:xf numFmtId="41" fontId="13" fillId="0" borderId="0" applyBorder="0" applyAlignment="0" applyProtection="0"/>
    <x:xf numFmtId="42" fontId="13" fillId="0" borderId="0" applyBorder="0" applyAlignment="0" applyProtection="0"/>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6" borderId="2" applyNumberFormat="0" applyFont="0" applyAlignment="0" applyProtection="0">
      <x:alignment vertical="center"/>
    </x:xf>
    <x:xf numFmtId="0" fontId="17" fillId="0" borderId="0" applyNumberFormat="0" applyFill="0" applyBorder="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20" fillId="0" borderId="3" applyNumberFormat="0" applyFill="0" applyAlignment="0" applyProtection="0">
      <x:alignment vertical="center"/>
    </x:xf>
    <x:xf numFmtId="0" fontId="21" fillId="0" borderId="3" applyNumberFormat="0" applyFill="0" applyAlignment="0" applyProtection="0">
      <x:alignment vertical="center"/>
    </x:xf>
    <x:xf numFmtId="0" fontId="22" fillId="0" borderId="4" applyNumberFormat="0" applyFill="0" applyAlignment="0" applyProtection="0">
      <x:alignment vertical="center"/>
    </x:xf>
    <x:xf numFmtId="0" fontId="22" fillId="0" borderId="0" applyNumberFormat="0" applyFill="0" applyBorder="0" applyAlignment="0" applyProtection="0">
      <x:alignment vertical="center"/>
    </x:xf>
    <x:xf numFmtId="0" fontId="23" fillId="7" borderId="5" applyNumberFormat="0" applyAlignment="0" applyProtection="0">
      <x:alignment vertical="center"/>
    </x:xf>
    <x:xf numFmtId="0" fontId="24" fillId="8" borderId="6" applyNumberFormat="0" applyAlignment="0" applyProtection="0">
      <x:alignment vertical="center"/>
    </x:xf>
    <x:xf numFmtId="0" fontId="25" fillId="8" borderId="5" applyNumberFormat="0" applyAlignment="0" applyProtection="0">
      <x:alignment vertical="center"/>
    </x:xf>
    <x:xf numFmtId="0" fontId="26" fillId="9" borderId="7" applyNumberFormat="0" applyAlignment="0" applyProtection="0">
      <x:alignment vertical="center"/>
    </x:xf>
    <x:xf numFmtId="0" fontId="27" fillId="0" borderId="8" applyNumberFormat="0" applyFill="0" applyAlignment="0" applyProtection="0">
      <x:alignment vertical="center"/>
    </x:xf>
    <x:xf numFmtId="0" fontId="28" fillId="0" borderId="9" applyNumberFormat="0" applyFill="0" applyAlignment="0" applyProtection="0">
      <x:alignment vertical="center"/>
    </x:xf>
    <x:xf numFmtId="0" fontId="29" fillId="10" borderId="0" applyNumberFormat="0" applyBorder="0" applyAlignment="0" applyProtection="0">
      <x:alignment vertical="center"/>
    </x:xf>
    <x:xf numFmtId="0" fontId="30" fillId="11" borderId="0" applyNumberFormat="0" applyBorder="0" applyAlignment="0" applyProtection="0">
      <x:alignment vertical="center"/>
    </x:xf>
    <x:xf numFmtId="0" fontId="31" fillId="12" borderId="0" applyNumberFormat="0" applyBorder="0" applyAlignment="0" applyProtection="0">
      <x:alignment vertical="center"/>
    </x:xf>
    <x:xf numFmtId="0" fontId="32" fillId="13" borderId="0" applyNumberFormat="0" applyBorder="0" applyAlignment="0" applyProtection="0">
      <x:alignment vertical="center"/>
    </x:xf>
    <x:xf numFmtId="0" fontId="33" fillId="14" borderId="0" applyNumberFormat="0" applyBorder="0" applyAlignment="0" applyProtection="0">
      <x:alignment vertical="center"/>
    </x:xf>
    <x:xf numFmtId="0" fontId="33" fillId="15" borderId="0" applyNumberFormat="0" applyBorder="0" applyAlignment="0" applyProtection="0">
      <x:alignment vertical="center"/>
    </x:xf>
    <x:xf numFmtId="0" fontId="32" fillId="16" borderId="0" applyNumberFormat="0" applyBorder="0" applyAlignment="0" applyProtection="0">
      <x:alignment vertical="center"/>
    </x:xf>
    <x:xf numFmtId="0" fontId="32" fillId="17" borderId="0" applyNumberFormat="0" applyBorder="0" applyAlignment="0" applyProtection="0">
      <x:alignment vertical="center"/>
    </x:xf>
    <x:xf numFmtId="0" fontId="33" fillId="18" borderId="0" applyNumberFormat="0" applyBorder="0" applyAlignment="0" applyProtection="0">
      <x:alignment vertical="center"/>
    </x:xf>
    <x:xf numFmtId="0" fontId="33" fillId="19" borderId="0" applyNumberFormat="0" applyBorder="0" applyAlignment="0" applyProtection="0">
      <x:alignment vertical="center"/>
    </x:xf>
    <x:xf numFmtId="0" fontId="32" fillId="20" borderId="0" applyNumberFormat="0" applyBorder="0" applyAlignment="0" applyProtection="0">
      <x:alignment vertical="center"/>
    </x:xf>
    <x:xf numFmtId="0" fontId="32" fillId="21" borderId="0" applyNumberFormat="0" applyBorder="0" applyAlignment="0" applyProtection="0">
      <x:alignment vertical="center"/>
    </x:xf>
    <x:xf numFmtId="0" fontId="33" fillId="22" borderId="0" applyNumberFormat="0" applyBorder="0" applyAlignment="0" applyProtection="0">
      <x:alignment vertical="center"/>
    </x:xf>
    <x:xf numFmtId="0" fontId="33" fillId="23" borderId="0" applyNumberFormat="0" applyBorder="0" applyAlignment="0" applyProtection="0">
      <x:alignment vertical="center"/>
    </x:xf>
    <x:xf numFmtId="0" fontId="32" fillId="24" borderId="0" applyNumberFormat="0" applyBorder="0" applyAlignment="0" applyProtection="0">
      <x:alignment vertical="center"/>
    </x:xf>
    <x:xf numFmtId="0" fontId="32" fillId="25" borderId="0" applyNumberFormat="0" applyBorder="0" applyAlignment="0" applyProtection="0">
      <x:alignment vertical="center"/>
    </x:xf>
    <x:xf numFmtId="0" fontId="33" fillId="26" borderId="0" applyNumberFormat="0" applyBorder="0" applyAlignment="0" applyProtection="0">
      <x:alignment vertical="center"/>
    </x:xf>
    <x:xf numFmtId="0" fontId="33" fillId="27" borderId="0" applyNumberFormat="0" applyBorder="0" applyAlignment="0" applyProtection="0">
      <x:alignment vertical="center"/>
    </x:xf>
    <x:xf numFmtId="0" fontId="32" fillId="28" borderId="0" applyNumberFormat="0" applyBorder="0" applyAlignment="0" applyProtection="0">
      <x:alignment vertical="center"/>
    </x:xf>
    <x:xf numFmtId="0" fontId="32" fillId="29" borderId="0" applyNumberFormat="0" applyBorder="0" applyAlignment="0" applyProtection="0">
      <x:alignment vertical="center"/>
    </x:xf>
    <x:xf numFmtId="0" fontId="33" fillId="30" borderId="0" applyNumberFormat="0" applyBorder="0" applyAlignment="0" applyProtection="0">
      <x:alignment vertical="center"/>
    </x:xf>
    <x:xf numFmtId="0" fontId="33" fillId="31" borderId="0" applyNumberFormat="0" applyBorder="0" applyAlignment="0" applyProtection="0">
      <x:alignment vertical="center"/>
    </x:xf>
    <x:xf numFmtId="0" fontId="32" fillId="32" borderId="0" applyNumberFormat="0" applyBorder="0" applyAlignment="0" applyProtection="0">
      <x:alignment vertical="center"/>
    </x:xf>
    <x:xf numFmtId="0" fontId="32" fillId="33" borderId="0" applyNumberFormat="0" applyBorder="0" applyAlignment="0" applyProtection="0">
      <x:alignment vertical="center"/>
    </x:xf>
    <x:xf numFmtId="0" fontId="33" fillId="34" borderId="0" applyNumberFormat="0" applyBorder="0" applyAlignment="0" applyProtection="0">
      <x:alignment vertical="center"/>
    </x:xf>
    <x:xf numFmtId="0" fontId="33" fillId="35" borderId="0" applyNumberFormat="0" applyBorder="0" applyAlignment="0" applyProtection="0">
      <x:alignment vertical="center"/>
    </x:xf>
    <x:xf numFmtId="0" fontId="32" fillId="36" borderId="0" applyNumberFormat="0" applyBorder="0" applyAlignment="0" applyProtection="0">
      <x:alignment vertical="center"/>
    </x:xf>
  </x:cellStyleXfs>
  <x:cellXfs count="111">
    <x:xf numFmtId="0" fontId="0" fillId="0" borderId="0" xfId="0"/>
    <x:xf numFmtId="0" fontId="0" fillId="0" borderId="0" xfId="0" applyAlignment="1"/>
    <x:xf numFmtId="0" fontId="1" fillId="0" borderId="0" xfId="0" applyFont="1" applyAlignment="1"/>
    <x:xf numFmtId="0" fontId="2" fillId="0" borderId="0" xfId="0" applyFont="1" applyAlignment="1"/>
    <x:xf numFmtId="0" fontId="3" fillId="2" borderId="0" xfId="0" applyFont="1" applyFill="1" applyAlignment="1">
      <x:alignment vertical="center" wrapText="1"/>
    </x:xf>
    <x:xf numFmtId="0" fontId="4" fillId="0" borderId="0" xfId="0" applyFont="1" applyAlignment="1"/>
    <x:xf numFmtId="2" fontId="4" fillId="0" borderId="0" xfId="0" applyNumberFormat="1" applyFont="1" applyAlignment="1"/>
    <x:xf numFmtId="3" fontId="4" fillId="0" borderId="0" xfId="0" applyNumberFormat="1" applyFont="1" applyAlignment="1"/>
    <x:xf numFmtId="0" fontId="4" fillId="0" borderId="0" xfId="0" applyFont="1" applyAlignment="1">
      <x:alignment vertical="top" wrapText="1"/>
    </x:xf>
    <x:xf numFmtId="0" fontId="4" fillId="0" borderId="0" xfId="0" applyFont="1" applyBorder="1" applyAlignment="1">
      <x:alignment vertical="top" wrapText="1"/>
    </x:xf>
    <x:xf numFmtId="0" fontId="5" fillId="0" borderId="0" xfId="0" applyFont="1" applyAlignment="1"/>
    <x:xf numFmtId="0" fontId="6" fillId="0" borderId="0" xfId="0" applyFont="1" applyAlignment="1"/>
    <x:xf numFmtId="0" fontId="0" fillId="0" borderId="1" xfId="0" applyFont="1" applyBorder="1" applyAlignment="1"/>
    <x:xf numFmtId="0" fontId="0" fillId="0" borderId="0" xfId="0" applyFont="1" applyAlignment="1">
      <x:alignment vertical="top" wrapText="1"/>
    </x:xf>
    <x:xf numFmtId="0" fontId="0" fillId="3" borderId="0" xfId="0" applyFill="1" applyAlignment="1"/>
    <x:xf numFmtId="0" fontId="7" fillId="0" borderId="0" xfId="0" applyFont="1" applyAlignment="1"/>
    <x:xf numFmtId="0" fontId="0" fillId="4" borderId="1" xfId="0" applyFill="1" applyBorder="1" applyAlignment="1"/>
    <x:xf numFmtId="0" fontId="7" fillId="0" borderId="0" xfId="0" applyFont="1" applyAlignment="1">
      <x:alignment vertical="top" wrapText="1"/>
    </x:xf>
    <x:xf numFmtId="0" fontId="6" fillId="0" borderId="0" xfId="0" applyFont="1" applyBorder="1" applyAlignment="1">
      <x:alignment vertical="top" wrapText="1"/>
    </x:xf>
    <x:xf numFmtId="176" fontId="0" fillId="4" borderId="1" xfId="0" applyNumberFormat="1" applyFill="1" applyBorder="1" applyAlignment="1"/>
    <x:xf numFmtId="177" fontId="0" fillId="4" borderId="1" xfId="0" applyNumberFormat="1" applyFill="1" applyBorder="1" applyAlignment="1"/>
    <x:xf numFmtId="178" fontId="0" fillId="4" borderId="1" xfId="0" applyNumberFormat="1" applyFill="1" applyBorder="1" applyAlignment="1"/>
    <x:xf numFmtId="179" fontId="0" fillId="4" borderId="1" xfId="0" applyNumberFormat="1" applyFill="1" applyBorder="1" applyAlignment="1"/>
    <x:xf numFmtId="180" fontId="0" fillId="4" borderId="1" xfId="0" applyNumberFormat="1" applyFill="1" applyBorder="1" applyAlignment="1"/>
    <x:xf numFmtId="0" fontId="1" fillId="0" borderId="0" xfId="0" applyFont="1" applyBorder="1" applyAlignment="1">
      <x:alignment vertical="top" wrapText="1"/>
    </x:xf>
    <x:xf numFmtId="0" fontId="7" fillId="0" borderId="0" xfId="0" applyFont="1" applyBorder="1" applyAlignment="1">
      <x:alignment vertical="top" wrapText="1"/>
    </x:xf>
    <x:xf numFmtId="0" fontId="0" fillId="3" borderId="0" xfId="0" applyFill="1" applyBorder="1" applyAlignment="1">
      <x:alignment wrapText="1"/>
    </x:xf>
    <x:xf numFmtId="0" fontId="4" fillId="3" borderId="1" xfId="0" applyFont="1" applyFill="1" applyBorder="1" applyAlignment="1">
      <x:alignment vertical="top" wrapText="1"/>
    </x:xf>
    <x:xf numFmtId="0" fontId="8" fillId="0" borderId="0" xfId="0" applyFont="1" applyAlignment="1"/>
    <x:xf numFmtId="0" fontId="0" fillId="0" borderId="1" xfId="0" applyFont="1" applyBorder="1" applyAlignment="1">
      <x:alignment vertical="center"/>
    </x:xf>
    <x:xf numFmtId="181" fontId="0" fillId="3" borderId="1" xfId="0" applyNumberFormat="1" applyFill="1" applyBorder="1" applyAlignment="1">
      <x:alignment vertical="center"/>
    </x:xf>
    <x:xf numFmtId="0" fontId="0" fillId="0" borderId="0" xfId="0" applyAlignment="1">
      <x:alignment vertical="center"/>
    </x:xf>
    <x:xf numFmtId="0" fontId="4" fillId="3" borderId="0" xfId="0" applyFont="1" applyFill="1" applyAlignment="1">
      <x:alignment vertical="center"/>
    </x:xf>
    <x:xf numFmtId="0" fontId="2" fillId="0" borderId="0" xfId="0" applyFont="1" applyAlignment="1">
      <x:alignment vertical="center" wrapText="1"/>
    </x:xf>
    <x:xf numFmtId="0" fontId="0" fillId="0" borderId="1" xfId="0" applyFont="1" applyBorder="1" applyAlignment="1">
      <x:alignment vertical="center" wrapText="1"/>
    </x:xf>
    <x:xf numFmtId="176" fontId="0" fillId="3" borderId="1" xfId="0" applyNumberFormat="1" applyFill="1" applyBorder="1" applyAlignment="1">
      <x:alignment vertical="center"/>
    </x:xf>
    <x:xf numFmtId="180" fontId="0" fillId="3" borderId="1" xfId="0" applyNumberFormat="1" applyFill="1" applyBorder="1" applyAlignment="1">
      <x:alignment vertical="center"/>
    </x:xf>
    <x:xf numFmtId="178" fontId="7" fillId="4" borderId="1" xfId="0" applyNumberFormat="1" applyFont="1" applyFill="1" applyBorder="1" applyAlignment="1"/>
    <x:xf numFmtId="180" fontId="7" fillId="4" borderId="1" xfId="0" applyNumberFormat="1" applyFont="1" applyFill="1" applyBorder="1" applyAlignment="1"/>
    <x:xf numFmtId="0" fontId="7" fillId="4" borderId="1" xfId="0" applyFont="1" applyFill="1" applyBorder="1" applyAlignment="1"/>
    <x:xf numFmtId="0" fontId="7" fillId="5" borderId="0" xfId="0" applyFont="1" applyFill="1" applyAlignment="1"/>
    <x:xf numFmtId="181" fontId="0" fillId="0" borderId="0" xfId="0" applyNumberFormat="1" applyAlignment="1"/>
    <x:xf numFmtId="180" fontId="0" fillId="0" borderId="0" xfId="0" applyNumberFormat="1" applyAlignment="1"/>
    <x:xf numFmtId="0" fontId="0" fillId="0" borderId="1" xfId="0" applyFont="1" applyBorder="1" applyAlignment="1">
      <x:alignment vertical="top" wrapText="1"/>
    </x:xf>
    <x:xf numFmtId="3" fontId="0" fillId="4" borderId="1" xfId="0" applyNumberFormat="1" applyFill="1" applyBorder="1" applyAlignment="1"/>
    <x:xf numFmtId="9" fontId="4" fillId="3" borderId="0" xfId="0" applyNumberFormat="1" applyFont="1" applyFill="1" applyAlignment="1"/>
    <x:xf numFmtId="0" fontId="3" fillId="2" borderId="0" xfId="0" applyFont="1" applyFill="1" applyAlignment="1">
      <x:alignment horizontal="left" vertical="center" wrapText="1"/>
    </x:xf>
    <x:xf numFmtId="0" fontId="3" fillId="2" borderId="0" xfId="0" applyFont="1" applyFill="1" applyAlignment="1">
      <x:alignment horizontal="center" vertical="center" wrapText="1"/>
    </x:xf>
    <x:xf numFmtId="0" fontId="4" fillId="0" borderId="0" xfId="0" applyFont="1" applyAlignment="1">
      <x:alignment horizontal="center"/>
    </x:xf>
    <x:xf numFmtId="180" fontId="4" fillId="4" borderId="0" xfId="0" applyNumberFormat="1" applyFont="1" applyFill="1" applyAlignment="1"/>
    <x:xf numFmtId="179" fontId="4" fillId="4" borderId="0" xfId="0" applyNumberFormat="1" applyFont="1" applyFill="1" applyAlignment="1">
      <x:alignment vertical="center" wrapText="1"/>
    </x:xf>
    <x:xf numFmtId="1" fontId="4" fillId="4" borderId="0" xfId="0" applyNumberFormat="1" applyFont="1" applyFill="1" applyAlignment="1">
      <x:alignment horizontal="center"/>
    </x:xf>
    <x:xf numFmtId="176" fontId="4" fillId="4" borderId="0" xfId="0" applyNumberFormat="1" applyFont="1" applyFill="1" applyAlignment="1"/>
    <x:xf numFmtId="181" fontId="4" fillId="4" borderId="0" xfId="0" applyNumberFormat="1" applyFont="1" applyFill="1" applyAlignment="1"/>
    <x:xf numFmtId="0" fontId="9" fillId="4" borderId="0" xfId="0" applyFont="1" applyFill="1" applyAlignment="1"/>
    <x:xf numFmtId="0" fontId="7" fillId="0" borderId="0" xfId="0" applyFont="1" applyAlignment="1">
      <x:alignment vertical="center" wrapText="1"/>
    </x:xf>
    <x:xf numFmtId="0" fontId="3" fillId="2" borderId="0" xfId="0" applyFont="1" applyFill="1" applyAlignment="1">
      <x:alignment vertical="top" wrapText="1"/>
    </x:xf>
    <x:xf numFmtId="0" fontId="3" fillId="2" borderId="0" xfId="0" applyFont="1" applyFill="1" applyBorder="1" applyAlignment="1">
      <x:alignment vertical="center" wrapText="1"/>
    </x:xf>
    <x:xf numFmtId="0" fontId="4" fillId="0" borderId="1" xfId="0" applyFont="1" applyBorder="1" applyAlignment="1"/>
    <x:xf numFmtId="180" fontId="4" fillId="4" borderId="1" xfId="0" applyNumberFormat="1" applyFont="1" applyFill="1" applyBorder="1" applyAlignment="1"/>
    <x:xf numFmtId="180" fontId="10" fillId="4" borderId="1" xfId="0" applyNumberFormat="1" applyFont="1" applyFill="1" applyBorder="1" applyAlignment="1"/>
    <x:xf numFmtId="9" fontId="4" fillId="4" borderId="1" xfId="0" applyNumberFormat="1" applyFont="1" applyFill="1" applyBorder="1" applyAlignment="1"/>
    <x:xf numFmtId="176" fontId="4" fillId="4" borderId="1" xfId="0" applyNumberFormat="1" applyFont="1" applyFill="1" applyBorder="1" applyAlignment="1"/>
    <x:xf numFmtId="176" fontId="10" fillId="4" borderId="1" xfId="0" applyNumberFormat="1" applyFont="1" applyFill="1" applyBorder="1" applyAlignment="1"/>
    <x:xf numFmtId="0" fontId="4" fillId="4" borderId="1" xfId="0" applyFont="1" applyFill="1" applyBorder="1" applyAlignment="1"/>
    <x:xf numFmtId="182" fontId="4" fillId="4" borderId="1" xfId="0" applyNumberFormat="1" applyFont="1" applyFill="1" applyBorder="1" applyAlignment="1"/>
    <x:xf numFmtId="182" fontId="10" fillId="4" borderId="1" xfId="0" applyNumberFormat="1" applyFont="1" applyFill="1" applyBorder="1" applyAlignment="1"/>
    <x:xf numFmtId="0" fontId="11" fillId="0" borderId="0" xfId="0" applyFont="1" applyAlignment="1"/>
    <x:xf numFmtId="180" fontId="11" fillId="0" borderId="0" xfId="0" applyNumberFormat="1" applyFont="1" applyAlignment="1"/>
    <x:xf numFmtId="181" fontId="11" fillId="0" borderId="0" xfId="0" applyNumberFormat="1" applyFont="1" applyAlignment="1"/>
    <x:xf numFmtId="176" fontId="11" fillId="0" borderId="0" xfId="0" applyNumberFormat="1" applyFont="1" applyAlignment="1"/>
    <x:xf numFmtId="177" fontId="7" fillId="4" borderId="1" xfId="0" applyNumberFormat="1" applyFont="1" applyFill="1" applyBorder="1" applyAlignment="1"/>
    <x:xf numFmtId="2" fontId="0" fillId="3" borderId="1" xfId="0" applyNumberFormat="1" applyFill="1" applyBorder="1" applyAlignment="1">
      <x:alignment vertical="center"/>
    </x:xf>
    <x:xf numFmtId="0" fontId="4" fillId="3" borderId="0" xfId="0" applyFont="1" applyFill="1" applyAlignment="1">
      <x:alignment vertical="center" wrapText="1"/>
    </x:xf>
    <x:xf numFmtId="3" fontId="0" fillId="3" borderId="1" xfId="0" applyNumberFormat="1" applyFill="1" applyBorder="1" applyAlignment="1">
      <x:alignment vertical="center"/>
    </x:xf>
    <x:xf numFmtId="0" fontId="2" fillId="0" borderId="0" xfId="0" applyFont="1" applyAlignment="1">
      <x:alignment vertical="top" wrapText="1"/>
    </x:xf>
    <x:xf numFmtId="0" fontId="0" fillId="3" borderId="0" xfId="0" applyFill="1" applyAlignment="1">
      <x:alignment wrapText="1"/>
    </x:xf>
    <x:xf numFmtId="0" fontId="4" fillId="3" borderId="0" xfId="0" applyFont="1" applyFill="1" applyAlignment="1"/>
    <x:xf numFmtId="180" fontId="0" fillId="3" borderId="1" xfId="0" applyNumberFormat="1" applyFill="1" applyBorder="1" applyAlignment="1"/>
    <x:xf numFmtId="176" fontId="0" fillId="3" borderId="1" xfId="0" applyNumberFormat="1" applyFill="1" applyBorder="1" applyAlignment="1"/>
    <x:xf numFmtId="3" fontId="0" fillId="3" borderId="1" xfId="0" applyNumberFormat="1" applyFill="1" applyBorder="1" applyAlignment="1"/>
    <x:xf numFmtId="176" fontId="7" fillId="4" borderId="1" xfId="0" applyNumberFormat="1" applyFont="1" applyFill="1" applyBorder="1" applyAlignment="1"/>
    <x:xf numFmtId="180" fontId="4" fillId="3" borderId="1" xfId="0" applyNumberFormat="1" applyFont="1" applyFill="1" applyBorder="1" applyAlignment="1"/>
    <x:xf numFmtId="0" fontId="4" fillId="3" borderId="1" xfId="0" applyFont="1" applyFill="1" applyBorder="1" applyAlignment="1"/>
    <x:xf numFmtId="9" fontId="4" fillId="3" borderId="1" xfId="0" applyNumberFormat="1" applyFont="1" applyFill="1" applyBorder="1" applyAlignment="1"/>
    <x:xf numFmtId="0" fontId="4" fillId="4" borderId="1" xfId="0" applyFont="1" applyFill="1" applyBorder="1" applyAlignment="1">
      <x:alignment vertical="top" wrapText="1"/>
    </x:xf>
    <x:xf numFmtId="2" fontId="4" fillId="4" borderId="1" xfId="0" applyNumberFormat="1" applyFont="1" applyFill="1" applyBorder="1" applyAlignment="1"/>
    <x:xf numFmtId="0" fontId="10" fillId="0" borderId="1" xfId="0" applyFont="1" applyBorder="1" applyAlignment="1"/>
    <x:xf numFmtId="0" fontId="2" fillId="0" borderId="0" xfId="0" applyFont="1" applyBorder="1" applyAlignment="1">
      <x:alignment vertical="top" wrapText="1"/>
    </x:xf>
    <x:xf numFmtId="0" fontId="8" fillId="0" borderId="0" xfId="0" applyFont="1" applyBorder="1" applyAlignment="1">
      <x:alignment vertical="top" wrapText="1"/>
    </x:xf>
    <x:xf numFmtId="0" fontId="0" fillId="3" borderId="0" xfId="0" applyFill="1" applyAlignment="1">
      <x:alignment vertical="center"/>
    </x:xf>
    <x:xf numFmtId="0" fontId="0" fillId="3" borderId="0" xfId="0" applyFill="1" applyAlignment="1">
      <x:alignment vertical="center" wrapText="1"/>
    </x:xf>
    <x:xf numFmtId="183" fontId="0" fillId="3" borderId="1" xfId="0" applyNumberFormat="1" applyFill="1" applyBorder="1" applyAlignment="1">
      <x:alignment vertical="center"/>
    </x:xf>
    <x:xf numFmtId="0" fontId="4" fillId="0" borderId="1" xfId="0" applyFont="1" applyBorder="1" applyAlignment="1">
      <x:alignment horizontal="center" vertical="center"/>
    </x:xf>
    <x:xf numFmtId="0" fontId="4" fillId="0" borderId="1" xfId="0" applyFont="1" applyBorder="1" applyAlignment="1">
      <x:alignment vertical="center"/>
    </x:xf>
    <x:xf numFmtId="180" fontId="4" fillId="0" borderId="1" xfId="0" applyNumberFormat="1" applyFont="1" applyBorder="1" applyAlignment="1">
      <x:alignment vertical="center"/>
    </x:xf>
    <x:xf numFmtId="0" fontId="4" fillId="0" borderId="1" xfId="0" applyFont="1" applyBorder="1" applyAlignment="1">
      <x:alignment vertical="center" wrapText="1"/>
    </x:xf>
    <x:xf numFmtId="0" fontId="4" fillId="3" borderId="1" xfId="0" applyFont="1" applyFill="1" applyBorder="1" applyAlignment="1">
      <x:alignment vertical="center" wrapText="1"/>
    </x:xf>
    <x:xf numFmtId="0" fontId="10" fillId="0" borderId="1" xfId="0" applyFont="1" applyBorder="1" applyAlignment="1">
      <x:alignment vertical="top" wrapText="1"/>
    </x:xf>
    <x:xf numFmtId="0" fontId="10" fillId="4" borderId="1" xfId="0" applyFont="1" applyFill="1" applyBorder="1" applyAlignment="1">
      <x:alignment vertical="top" wrapText="1"/>
    </x:xf>
    <x:xf numFmtId="0" fontId="10" fillId="4" borderId="1" xfId="0" applyFont="1" applyFill="1" applyBorder="1" applyAlignment="1"/>
    <x:xf numFmtId="0" fontId="4" fillId="0" borderId="1" xfId="0" applyFont="1" applyBorder="1" applyAlignment="1">
      <x:alignment vertical="top" wrapText="1"/>
    </x:xf>
    <x:xf numFmtId="180" fontId="4" fillId="0" borderId="1" xfId="0" applyNumberFormat="1" applyFont="1" applyBorder="1" applyAlignment="1"/>
    <x:xf numFmtId="9" fontId="4" fillId="0" borderId="1" xfId="0" applyNumberFormat="1" applyFont="1" applyBorder="1" applyAlignment="1"/>
    <x:xf numFmtId="182" fontId="4" fillId="3" borderId="1" xfId="0" applyNumberFormat="1" applyFont="1" applyFill="1" applyBorder="1" applyAlignment="1"/>
    <x:xf numFmtId="0" fontId="3" fillId="2" borderId="0" xfId="0" applyFont="1" applyFill="1" applyAlignment="1">
      <x:alignment wrapText="1"/>
    </x:xf>
    <x:xf numFmtId="0" fontId="0" fillId="3" borderId="1" xfId="0" applyFill="1" applyBorder="1" applyAlignment="1">
      <x:alignment vertical="top" wrapText="1"/>
    </x:xf>
    <x:xf numFmtId="0" fontId="0" fillId="4" borderId="0" xfId="0" applyFont="1" applyFill="1" applyAlignment="1"/>
    <x:xf numFmtId="0" fontId="6" fillId="0" borderId="0" xfId="0" applyFont="1" applyAlignment="1">
      <x:alignment vertical="top" wrapText="1"/>
    </x:xf>
    <x:xf numFmtId="0" fontId="0" fillId="3" borderId="0" xfId="0" applyFont="1" applyFill="1" applyAlignment="1"/>
    <x:xf numFmtId="0" fontId="12" fillId="0" borderId="0" xfId="0" applyFont="1" applyAlignment="1">
      <x:alignment vertical="top"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18">
    <x:dxf>
      <x:font>
        <x:b/>
        <x:color rgb="FFC00000"/>
      </x:font>
      <x:fill>
        <x:patternFill>
          <x:bgColor rgb="FFF8CBAD"/>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colors>
    <x:indexedColors>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BFBFBF"/>
      <x:rgbColor rgb="00808080"/>
      <x:rgbColor rgb="009999FF"/>
      <x:rgbColor rgb="00993366"/>
      <x:rgbColor rgb="00FFF2CC"/>
      <x:rgbColor rgb="00CCFFFF"/>
      <x:rgbColor rgb="00660066"/>
      <x:rgbColor rgb="00FF8080"/>
      <x:rgbColor rgb="000066CC"/>
      <x:rgbColor rgb="00D9E1F2"/>
      <x:rgbColor rgb="00000080"/>
      <x:rgbColor rgb="00FF00FF"/>
      <x:rgbColor rgb="00FFFF00"/>
      <x:rgbColor rgb="0000FFFF"/>
      <x:rgbColor rgb="00800080"/>
      <x:rgbColor rgb="00800000"/>
      <x:rgbColor rgb="00008080"/>
      <x:rgbColor rgb="000000FF"/>
      <x:rgbColor rgb="0000CCFF"/>
      <x:rgbColor rgb="00CCFFFF"/>
      <x:rgbColor rgb="00E2EFDA"/>
      <x:rgbColor rgb="00FFFF99"/>
      <x:rgbColor rgb="0099CCFF"/>
      <x:rgbColor rgb="00FF99CC"/>
      <x:rgbColor rgb="00CC99FF"/>
      <x:rgbColor rgb="00F8CBAD"/>
      <x:rgbColor rgb="003366FF"/>
      <x:rgbColor rgb="0033CCCC"/>
      <x:rgbColor rgb="0099CC00"/>
      <x:rgbColor rgb="00FFCC00"/>
      <x:rgbColor rgb="00FF9900"/>
      <x:rgbColor rgb="00FF6600"/>
      <x:rgbColor rgb="00595959"/>
      <x:rgbColor rgb="00969696"/>
      <x:rgbColor rgb="001F3864"/>
      <x:rgbColor rgb="00339966"/>
      <x:rgbColor rgb="00003300"/>
      <x:rgbColor rgb="00333300"/>
      <x:rgbColor rgb="00993300"/>
      <x:rgbColor rgb="00993366"/>
      <x:rgbColor rgb="00333399"/>
      <x:rgbColor rgb="00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c45b6a1d7a749b9" /><Relationship Type="http://schemas.openxmlformats.org/officeDocument/2006/relationships/theme" Target="/xl/theme/theme1.xml" Id="R4ac399ec3ef2470d" /><Relationship Type="http://schemas.openxmlformats.org/officeDocument/2006/relationships/sharedStrings" Target="/xl/sharedStrings.xml" Id="R39f59309f6ab430d" /><Relationship Type="http://schemas.openxmlformats.org/officeDocument/2006/relationships/worksheet" Target="/xl/worksheets/sheet1.xml" Id="Rf576d0c02caa4252" /><Relationship Type="http://schemas.openxmlformats.org/officeDocument/2006/relationships/worksheet" Target="/xl/worksheets/sheet2.xml" Id="R183b7c18a524451f" /><Relationship Type="http://schemas.openxmlformats.org/officeDocument/2006/relationships/worksheet" Target="/xl/worksheets/sheet3.xml" Id="Rfbdd4563d3e54917" /><Relationship Type="http://schemas.openxmlformats.org/officeDocument/2006/relationships/worksheet" Target="/xl/worksheets/sheet4.xml" Id="R19083e2404e241d1" /><Relationship Type="http://schemas.openxmlformats.org/officeDocument/2006/relationships/worksheet" Target="/xl/worksheets/sheet5.xml" Id="R9b722f338a754f8a" /><Relationship Type="http://schemas.openxmlformats.org/officeDocument/2006/relationships/worksheet" Target="/xl/worksheets/sheet6.xml" Id="Re5d9c239ea214296" /><Relationship Type="http://schemas.openxmlformats.org/officeDocument/2006/relationships/worksheet" Target="/xl/worksheets/sheet7.xml" Id="R84a491f5b7d649f3" /><Relationship Type="http://schemas.openxmlformats.org/officeDocument/2006/relationships/worksheet" Target="/xl/worksheets/sheet8.xml" Id="R3fd6fd761e9c4bb4" /><Relationship Type="http://schemas.openxmlformats.org/officeDocument/2006/relationships/worksheet" Target="/xl/worksheets/sheet9.xml" Id="Re4cd4e241e9740a3" /><Relationship Type="http://schemas.openxmlformats.org/officeDocument/2006/relationships/worksheet" Target="/xl/worksheets/sheet10.xml" Id="R066ffe69ab134085" /><Relationship Type="http://schemas.openxmlformats.org/officeDocument/2006/relationships/worksheet" Target="/xl/worksheets/sheet11.xml" Id="R0ca0a0e89eb24818" /><Relationship Type="http://schemas.openxmlformats.org/officeDocument/2006/relationships/worksheet" Target="/xl/worksheets/sheet12.xml" Id="Re9db9102edfd4fdb"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FormatPr defaultColWidth="8.675926208496094" defaultRowHeight="14.399999618530273"/>
  <x:cols>
    <x:col min="1" max="1" width="130" style="1" customWidth="1"/>
  </x:cols>
  <x:sheetData>
    <x:row r="1" ht="17.25" customHeight="1">
      <x:c r="A1" s="10" t="s">
        <x:v>0</x:v>
      </x:c>
    </x:row>
    <x:row r="2" ht="46.5" customHeight="1">
      <x:c r="A2" s="108" t="s">
        <x:v>1</x:v>
      </x:c>
    </x:row>
    <x:row r="3" ht="31.5" customHeight="1">
      <x:c r="A3" s="13" t="s">
        <x:v>2</x:v>
      </x:c>
    </x:row>
    <x:row r="4" ht="31.5" customHeight="1">
      <x:c r="A4" s="13" t="s">
        <x:v>3</x:v>
      </x:c>
    </x:row>
    <x:row r="5" ht="46.5" customHeight="1">
      <x:c r="A5" s="13" t="s">
        <x:v>4</x:v>
      </x:c>
    </x:row>
    <x:row r="6" ht="46.5" customHeight="1">
      <x:c r="A6" s="13" t="s">
        <x:v>5</x:v>
      </x:c>
    </x:row>
    <x:row r="7" ht="31.5" customHeight="1">
      <x:c r="A7" s="13" t="s">
        <x:v>6</x:v>
      </x:c>
    </x:row>
    <x:row r="8" ht="16.5" customHeight="1">
      <x:c r="A8" s="13" t="s">
        <x:v>7</x:v>
      </x:c>
    </x:row>
    <x:row r="9" ht="46.5" customHeight="1">
      <x:c r="A9" s="13" t="s">
        <x:v>8</x:v>
      </x:c>
    </x:row>
    <x:row r="10" ht="16.5" customHeight="1">
      <x:c r="A10" s="13" t="s">
        <x:v>9</x:v>
      </x:c>
    </x:row>
    <x:row r="11" ht="31.5" customHeight="1">
      <x:c r="A11" s="13" t="s">
        <x:v>10</x:v>
      </x:c>
    </x:row>
    <x:row r="12" ht="31.5" customHeight="1">
      <x:c r="A12" s="13" t="s">
        <x:v>11</x:v>
      </x:c>
    </x:row>
    <x:row r="13" ht="31.5" customHeight="1">
      <x:c r="A13" s="13" t="s">
        <x:v>12</x:v>
      </x:c>
    </x:row>
    <x:row r="14" ht="16.5" customHeight="1">
      <x:c r="A14" s="13" t="s">
        <x:v>13</x:v>
      </x:c>
    </x:row>
    <x:row r="15" ht="15" customHeight="1">
      <x:c r="A15" s="15" t="s">
        <x:v>14</x:v>
      </x:c>
    </x:row>
    <x:row r="16" ht="15" customHeight="1">
      <x:c r="A16" s="109" t="s">
        <x:v>15</x:v>
      </x:c>
    </x:row>
    <x:row r="17" ht="15" customHeight="1">
      <x:c r="A17" s="107" t="s">
        <x:v>16</x:v>
      </x:c>
    </x:row>
    <x:row r="18" ht="15" customHeight="1">
      <x:c r="A18" s="110" t="s">
        <x:v>17</x:v>
      </x:c>
    </x:row>
  </x:sheetData>
  <x:pageMargins left="0.7" right="0.7" top="0.75" bottom="0.75" header="0.3" footer="0.3"/>
</x:worksheet>
</file>

<file path=xl/worksheets/sheet2.xml><?xml version="1.0" encoding="utf-8"?>
<x:worksheet xmlns:x="http://schemas.openxmlformats.org/spreadsheetml/2006/main">
  <x:sheetFormatPr defaultColWidth="8.675926208496094" defaultRowHeight="14.399999618530273"/>
  <x:cols>
    <x:col min="1" max="1" width="52" style="1" customWidth="1"/>
    <x:col min="2" max="2" width="14" style="1" customWidth="1"/>
    <x:col min="3" max="4" width="46" style="1" customWidth="1"/>
    <x:col min="5" max="5" width="36" style="1" customWidth="1"/>
  </x:cols>
  <x:sheetData>
    <x:row r="1" ht="17.25" customHeight="1">
      <x:c r="A1" s="10" t="s">
        <x:v>18</x:v>
      </x:c>
    </x:row>
    <x:row r="2" ht="15" customHeight="1">
      <x:c r="A2" s="11" t="s">
        <x:v>19</x:v>
      </x:c>
    </x:row>
    <x:row r="4" ht="26.25" customHeight="1">
      <x:c r="A4" s="105" t="s">
        <x:v>20</x:v>
      </x:c>
      <x:c r="B4" s="105" t="s">
        <x:v>21</x:v>
      </x:c>
      <x:c r="C4" s="105" t="s">
        <x:v>22</x:v>
      </x:c>
      <x:c r="D4" s="105" t="s">
        <x:v>23</x:v>
      </x:c>
      <x:c r="E4" s="105" t="s">
        <x:v>24</x:v>
      </x:c>
    </x:row>
    <x:row r="5" ht="33.75" customHeight="1">
      <x:c r="A5" s="43" t="s">
        <x:v>25</x:v>
      </x:c>
      <x:c r="B5" s="106" t="str">
        <x:v>Chưa có</x:v>
      </x:c>
      <x:c r="C5" s="43" t="s">
        <x:v>26</x:v>
      </x:c>
      <x:c r="D5" s="43" t="s">
        <x:v>27</x:v>
      </x:c>
      <x:c r="E5" s="106" t="str">
        <x:v>Không sử dụng dữ liệu dự án cũ; thay bằng Đề bài 3 – ShopViết, CS9_DeBai_GiaDinh.pdf (tr. 6–7).</x:v>
      </x:c>
    </x:row>
    <x:row r="6" ht="33.75" customHeight="1">
      <x:c r="A6" s="43" t="s">
        <x:v>28</x:v>
      </x:c>
      <x:c r="B6" s="106" t="str">
        <x:v>Chưa có</x:v>
      </x:c>
      <x:c r="C6" s="43" t="s">
        <x:v>29</x:v>
      </x:c>
      <x:c r="D6" s="43" t="s">
        <x:v>30</x:v>
      </x:c>
      <x:c r="E6" s="106" t="str">
        <x:v>Không sử dụng dữ liệu dự án cũ; thay bằng Đề bài 3 – ShopViết, CS9_DeBai_GiaDinh.pdf (tr. 6–7).</x:v>
      </x:c>
    </x:row>
    <x:row r="7" ht="33.75" customHeight="1">
      <x:c r="A7" s="43" t="s">
        <x:v>31</x:v>
      </x:c>
      <x:c r="B7" s="106" t="str">
        <x:v>Chưa có</x:v>
      </x:c>
      <x:c r="C7" s="43" t="s">
        <x:v>32</x:v>
      </x:c>
      <x:c r="D7" s="43" t="s">
        <x:v>33</x:v>
      </x:c>
      <x:c r="E7" s="106" t="str">
        <x:v>Không sử dụng dữ liệu dự án cũ; thay bằng Đề bài 3 – ShopViết, CS9_DeBai_GiaDinh.pdf (tr. 6–7).</x:v>
      </x:c>
    </x:row>
    <x:row r="8" ht="33.75" customHeight="1">
      <x:c r="A8" s="43" t="s">
        <x:v>34</x:v>
      </x:c>
      <x:c r="B8" s="106" t="str">
        <x:v>Chưa có</x:v>
      </x:c>
      <x:c r="C8" s="43" t="s">
        <x:v>35</x:v>
      </x:c>
      <x:c r="D8" s="43" t="s">
        <x:v>36</x:v>
      </x:c>
      <x:c r="E8" s="106" t="str">
        <x:v>Không sử dụng dữ liệu dự án cũ; thay bằng Đề bài 3 – ShopViết, CS9_DeBai_GiaDinh.pdf (tr. 6–7).</x:v>
      </x:c>
    </x:row>
    <x:row r="9" ht="33.75" customHeight="1">
      <x:c r="A9" s="43" t="s">
        <x:v>37</x:v>
      </x:c>
      <x:c r="B9" s="106" t="str">
        <x:v>Chưa có</x:v>
      </x:c>
      <x:c r="C9" s="43" t="s">
        <x:v>38</x:v>
      </x:c>
      <x:c r="D9" s="43" t="s">
        <x:v>39</x:v>
      </x:c>
      <x:c r="E9" s="106" t="str">
        <x:v>Không sử dụng dữ liệu dự án cũ; thay bằng Đề bài 3 – ShopViết, CS9_DeBai_GiaDinh.pdf (tr. 6–7).</x:v>
      </x:c>
    </x:row>
    <x:row r="10" ht="61.5" customHeight="1">
      <x:c r="A10" s="43" t="s">
        <x:v>40</x:v>
      </x:c>
      <x:c r="B10" s="106" t="str">
        <x:v>Có</x:v>
      </x:c>
      <x:c r="C10" s="43" t="s">
        <x:v>41</x:v>
      </x:c>
      <x:c r="D10" s="43" t="s">
        <x:v>42</x:v>
      </x:c>
      <x:c r="E10" s="106" t="str">
        <x:v>Đề bài 3 – ShopViết; CS9_DeBai_GiaDinh.pdf, trang 6–7.</x:v>
      </x:c>
    </x:row>
    <x:row r="12" ht="15" customHeight="1">
      <x:c r="A12" s="15" t="s">
        <x:v>43</x:v>
      </x:c>
      <x:c r="B12" s="107" t="n">
        <x:f>COUNTIF(B5:B10,"Có")</x:f>
        <x:v>1</x:v>
      </x:c>
    </x:row>
    <x:row r="13" ht="15" customHeight="1">
      <x:c r="A13" s="11" t="s">
        <x:v>44</x:v>
      </x:c>
    </x:row>
  </x:sheetData>
  <x:dataValidations count="1">
    <x:dataValidation type="list" allowBlank="1" sqref="B5:B10">
      <x:formula1>"Có,Chưa"</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ColWidth="8.675926208496094" defaultRowHeight="14.399999618530273"/>
  <x:cols>
    <x:col min="1" max="1" width="6" style="1" customWidth="1"/>
    <x:col min="2" max="2" width="60" style="1" customWidth="1"/>
    <x:col min="3" max="5" width="14" style="1" customWidth="1"/>
    <x:col min="6" max="6" width="30" style="1" customWidth="1"/>
    <x:col min="7" max="7" width="34" style="1" customWidth="1"/>
  </x:cols>
  <x:sheetData>
    <x:row r="1" ht="17.25" customHeight="1">
      <x:c r="A1" s="10" t="s">
        <x:v>45</x:v>
      </x:c>
    </x:row>
    <x:row r="2" ht="15" customHeight="1">
      <x:c r="A2" s="11" t="s">
        <x:v>46</x:v>
      </x:c>
    </x:row>
    <x:row r="3" ht="31.5" customHeight="1">
      <x:c r="A3" s="88" t="s">
        <x:v>47</x:v>
      </x:c>
      <x:c r="B3" s="88"/>
      <x:c r="C3" s="88"/>
      <x:c r="D3" s="88"/>
      <x:c r="E3" s="88"/>
      <x:c r="F3" s="88"/>
      <x:c r="G3" s="88"/>
    </x:row>
    <x:row r="5" ht="15" customHeight="1">
      <x:c r="A5" s="15" t="s">
        <x:v>48</x:v>
      </x:c>
    </x:row>
    <x:row r="6" ht="31.5" customHeight="1">
      <x:c r="A6" s="4" t="s">
        <x:v>49</x:v>
      </x:c>
      <x:c r="B6" s="4" t="s">
        <x:v>50</x:v>
      </x:c>
      <x:c r="C6" s="4" t="s">
        <x:v>51</x:v>
      </x:c>
      <x:c r="D6" s="4" t="s">
        <x:v>52</x:v>
      </x:c>
      <x:c r="E6" s="4" t="s">
        <x:v>53</x:v>
      </x:c>
      <x:c r="F6" s="4" t="s">
        <x:v>54</x:v>
      </x:c>
      <x:c r="G6" s="4" t="s">
        <x:v>55</x:v>
      </x:c>
    </x:row>
    <x:row r="7" ht="30" customHeight="1">
      <x:c r="A7" s="93">
        <x:v>1</x:v>
      </x:c>
      <x:c r="B7" s="94" t="s">
        <x:v>56</x:v>
      </x:c>
      <x:c r="C7" s="95">
        <x:v>1000</x:v>
      </x:c>
      <x:c r="D7" s="95"/>
      <x:c r="E7" s="95"/>
      <x:c r="F7" s="96"/>
      <x:c r="G7" s="97" t="str">
        <x:v>Không: vốn góp, không phải doanh thu.</x:v>
      </x:c>
    </x:row>
    <x:row r="8" ht="30" customHeight="1">
      <x:c r="A8" s="93">
        <x:v>2</x:v>
      </x:c>
      <x:c r="B8" s="94" t="s">
        <x:v>57</x:v>
      </x:c>
      <x:c r="C8" s="95">
        <x:v>300</x:v>
      </x:c>
      <x:c r="D8" s="95"/>
      <x:c r="E8" s="95"/>
      <x:c r="F8" s="96" t="s">
        <x:v>58</x:v>
      </x:c>
      <x:c r="G8" s="97" t="str">
        <x:v>Không: tiền vay là nợ; chỉ lãi vay 3 triệu/tháng là chi phí.</x:v>
      </x:c>
    </x:row>
    <x:row r="9" ht="30" customHeight="1">
      <x:c r="A9" s="93">
        <x:v>3</x:v>
      </x:c>
      <x:c r="B9" s="94" t="s">
        <x:v>59</x:v>
      </x:c>
      <x:c r="C9" s="95">
        <x:v>360</x:v>
      </x:c>
      <x:c r="D9" s="95"/>
      <x:c r="E9" s="95"/>
      <x:c r="F9" s="96" t="s">
        <x:v>60</x:v>
      </x:c>
      <x:c r="G9" s="97" t="str">
        <x:v>Có: khấu hao 10 triệu/tháng, không ghi toàn bộ tiền mua vào chi phí.</x:v>
      </x:c>
    </x:row>
    <x:row r="10" ht="30" customHeight="1">
      <x:c r="A10" s="93">
        <x:v>4</x:v>
      </x:c>
      <x:c r="B10" s="94" t="s">
        <x:v>61</x:v>
      </x:c>
      <x:c r="C10" s="95">
        <x:v>50</x:v>
      </x:c>
      <x:c r="D10" s="95">
        <x:v>80</x:v>
      </x:c>
      <x:c r="E10" s="95">
        <x:v>110</x:v>
      </x:c>
      <x:c r="F10" s="96"/>
      <x:c r="G10" s="97" t="str">
        <x:v>Có: doanh thu dịch vụ 50/80/110 triệu theo tháng.</x:v>
      </x:c>
    </x:row>
    <x:row r="11" ht="30" customHeight="1">
      <x:c r="A11" s="93">
        <x:v>5</x:v>
      </x:c>
      <x:c r="B11" s="94" t="s">
        <x:v>62</x:v>
      </x:c>
      <x:c r="C11" s="95">
        <x:v>240</x:v>
      </x:c>
      <x:c r="D11" s="95"/>
      <x:c r="E11" s="95"/>
      <x:c r="F11" s="96" t="s">
        <x:v>63</x:v>
      </x:c>
      <x:c r="G11" s="97" t="str">
        <x:v>Có: doanh thu 20 triệu/tháng; 180 triệu còn lại là doanh thu chưa thực hiện.</x:v>
      </x:c>
    </x:row>
    <x:row r="12" ht="30" customHeight="1">
      <x:c r="A12" s="93">
        <x:v>6</x:v>
      </x:c>
      <x:c r="B12" s="94" t="s">
        <x:v>64</x:v>
      </x:c>
      <x:c r="C12" s="95"/>
      <x:c r="D12" s="95">
        <x:v>90</x:v>
      </x:c>
      <x:c r="E12" s="95"/>
      <x:c r="F12" s="96" t="s">
        <x:v>65</x:v>
      </x:c>
      <x:c r="G12" s="97" t="str">
        <x:v>Có: 90 triệu doanh thu tháng 2, dù tháng 4 mới thu.</x:v>
      </x:c>
    </x:row>
    <x:row r="13" ht="30" customHeight="1">
      <x:c r="A13" s="93">
        <x:v>7</x:v>
      </x:c>
      <x:c r="B13" s="94" t="s">
        <x:v>66</x:v>
      </x:c>
      <x:c r="C13" s="95">
        <x:v>15</x:v>
      </x:c>
      <x:c r="D13" s="95">
        <x:v>25</x:v>
      </x:c>
      <x:c r="E13" s="95">
        <x:v>35</x:v>
      </x:c>
      <x:c r="F13" s="96" t="s">
        <x:v>67</x:v>
      </x:c>
      <x:c r="G13" s="97" t="str">
        <x:v>Có: giá vốn 15/25/35 triệu khi phát sinh; chưa thanh toán không đổi kỳ chi phí.</x:v>
      </x:c>
    </x:row>
    <x:row r="14" ht="30" customHeight="1">
      <x:c r="A14" s="93">
        <x:v>8</x:v>
      </x:c>
      <x:c r="B14" s="94" t="s">
        <x:v>68</x:v>
      </x:c>
      <x:c r="C14" s="95">
        <x:v>10</x:v>
      </x:c>
      <x:c r="D14" s="95">
        <x:v>10</x:v>
      </x:c>
      <x:c r="E14" s="95">
        <x:v>10</x:v>
      </x:c>
      <x:c r="F14" s="96"/>
      <x:c r="G14" s="97" t="str">
        <x:v>Có: giá vốn 10 triệu/tháng.</x:v>
      </x:c>
    </x:row>
    <x:row r="15" ht="30" customHeight="1">
      <x:c r="A15" s="93">
        <x:v>9</x:v>
      </x:c>
      <x:c r="B15" s="94" t="s">
        <x:v>69</x:v>
      </x:c>
      <x:c r="C15" s="95">
        <x:v>120</x:v>
      </x:c>
      <x:c r="D15" s="95">
        <x:v>120</x:v>
      </x:c>
      <x:c r="E15" s="95">
        <x:v>120</x:v>
      </x:c>
      <x:c r="F15" s="96"/>
      <x:c r="G15" s="97" t="str">
        <x:v>Có: chi phí hoạt động 120 triệu/tháng.</x:v>
      </x:c>
    </x:row>
    <x:row r="16" ht="30" customHeight="1">
      <x:c r="A16" s="93">
        <x:v>10</x:v>
      </x:c>
      <x:c r="B16" s="94" t="s">
        <x:v>70</x:v>
      </x:c>
      <x:c r="C16" s="95">
        <x:v>20</x:v>
      </x:c>
      <x:c r="D16" s="95">
        <x:v>20</x:v>
      </x:c>
      <x:c r="E16" s="95">
        <x:v>20</x:v>
      </x:c>
      <x:c r="F16" s="96"/>
      <x:c r="G16" s="97" t="str">
        <x:v>Có: chi phí hoạt động 20 triệu/tháng.</x:v>
      </x:c>
    </x:row>
    <x:row r="17" ht="30" customHeight="1">
      <x:c r="A17" s="93">
        <x:v>11</x:v>
      </x:c>
      <x:c r="B17" s="94" t="s">
        <x:v>71</x:v>
      </x:c>
      <x:c r="C17" s="95">
        <x:v>0</x:v>
      </x:c>
      <x:c r="D17" s="95">
        <x:v>0</x:v>
      </x:c>
      <x:c r="E17" s="95">
        <x:v>0</x:v>
      </x:c>
      <x:c r="F17" s="96" t="s">
        <x:v>72</x:v>
      </x:c>
      <x:c r="G17" s="97" t="str">
        <x:v>Có: thuế bằng 0 do lỗ lũy kế.</x:v>
      </x:c>
    </x:row>
    <x:row r="19" ht="16.5" customHeight="1">
      <x:c r="A19" s="25" t="s">
        <x:v>73</x:v>
      </x:c>
      <x:c r="B19" s="25"/>
      <x:c r="C19" s="25"/>
      <x:c r="D19" s="25"/>
      <x:c r="E19" s="25"/>
      <x:c r="F19" s="25"/>
      <x:c r="G19" s="25"/>
    </x:row>
    <x:row r="20" ht="15" customHeight="1">
      <x:c r="B20" s="4" t="s">
        <x:v>74</x:v>
      </x:c>
      <x:c r="C20" s="4" t="s">
        <x:v>51</x:v>
      </x:c>
      <x:c r="D20" s="4" t="s">
        <x:v>52</x:v>
      </x:c>
      <x:c r="E20" s="4" t="s">
        <x:v>53</x:v>
      </x:c>
      <x:c r="F20" s="4" t="s">
        <x:v>75</x:v>
      </x:c>
      <x:c r="G20" s="4" t="s">
        <x:v>76</x:v>
      </x:c>
    </x:row>
    <x:row r="21" ht="15" customHeight="1">
      <x:c r="B21" s="58" t="s">
        <x:v>77</x:v>
      </x:c>
      <x:c r="C21" s="82" t="n">
        <x:v>70</x:v>
      </x:c>
      <x:c r="D21" s="82" t="n">
        <x:v>190</x:v>
      </x:c>
      <x:c r="E21" s="82" t="n">
        <x:v>130</x:v>
      </x:c>
      <x:c r="F21" s="59" t="n">
        <x:f t="shared" ref="F21:F31" si="0">IF(COUNT(C21:E21)=0,"",SUM(C21:E21))</x:f>
        <x:v>390</x:v>
      </x:c>
    </x:row>
    <x:row r="22" ht="15" customHeight="1">
      <x:c r="B22" s="58" t="s">
        <x:v>78</x:v>
      </x:c>
      <x:c r="C22" s="82" t="n">
        <x:v>25</x:v>
      </x:c>
      <x:c r="D22" s="82" t="n">
        <x:v>35</x:v>
      </x:c>
      <x:c r="E22" s="82" t="n">
        <x:v>45</x:v>
      </x:c>
      <x:c r="F22" s="59" t="n">
        <x:f t="shared" si="0">SUM(C22:E22)</x:f>
        <x:v>105</x:v>
      </x:c>
    </x:row>
    <x:row r="23" ht="15" customHeight="1">
      <x:c r="B23" s="87" t="s">
        <x:v>79</x:v>
      </x:c>
      <x:c r="C23" s="82" t="n">
        <x:f>C21-C22</x:f>
        <x:v>45</x:v>
      </x:c>
      <x:c r="D23" s="82" t="n">
        <x:f>D21-D22</x:f>
        <x:v>155</x:v>
      </x:c>
      <x:c r="E23" s="82" t="n">
        <x:f>E21-E22</x:f>
        <x:v>85</x:v>
      </x:c>
      <x:c r="F23" s="60" t="n">
        <x:f t="shared" si="0">SUM(C23:E23)</x:f>
        <x:v>285</x:v>
      </x:c>
      <x:c r="G23" s="64" t="str">
        <x:f>IF(COUNT(C21:E21,C22:E22,C23:E23)&lt;9,"Chưa điền",IF(AND(ABS(C23-(C21-C22))&lt;0.01,ABS(D23-(D21-D22))&lt;0.01,ABS(E23-(E21-E22))&lt;0.01),"Đạt","Xem lại phép trừ"))</x:f>
        <x:v>Đạt</x:v>
      </x:c>
    </x:row>
    <x:row r="24" ht="15" customHeight="1">
      <x:c r="B24" s="58" t="s">
        <x:v>80</x:v>
      </x:c>
      <x:c r="C24" s="82" t="n">
        <x:v>140</x:v>
      </x:c>
      <x:c r="D24" s="82" t="n">
        <x:v>140</x:v>
      </x:c>
      <x:c r="E24" s="82" t="n">
        <x:v>140</x:v>
      </x:c>
      <x:c r="F24" s="59" t="n">
        <x:f t="shared" si="0">SUM(C24:E24)</x:f>
        <x:v>420</x:v>
      </x:c>
    </x:row>
    <x:row r="25" ht="15" customHeight="1">
      <x:c r="B25" s="87" t="s">
        <x:v>81</x:v>
      </x:c>
      <x:c r="C25" s="82" t="n">
        <x:f>C23-C24</x:f>
        <x:v>-95</x:v>
      </x:c>
      <x:c r="D25" s="82" t="n">
        <x:f>D23-D24</x:f>
        <x:v>15</x:v>
      </x:c>
      <x:c r="E25" s="82" t="n">
        <x:f>E23-E24</x:f>
        <x:v>-55</x:v>
      </x:c>
      <x:c r="F25" s="60" t="n">
        <x:f t="shared" si="0">SUM(C25:E25)</x:f>
        <x:v>-135</x:v>
      </x:c>
      <x:c r="G25" s="64" t="str">
        <x:f>IF(COUNT(C23:E23,C24:E24,C25:E25)&lt;9,"Chưa điền",IF(AND(ABS(C25-(C23-C24))&lt;0.01,ABS(D25-(D23-D24))&lt;0.01,ABS(E25-(E23-E24))&lt;0.01),"Đạt","Xem lại phép trừ"))</x:f>
        <x:v>Đạt</x:v>
      </x:c>
    </x:row>
    <x:row r="26" ht="15" customHeight="1">
      <x:c r="B26" s="58" t="s">
        <x:v>82</x:v>
      </x:c>
      <x:c r="C26" s="82" t="n">
        <x:v>10</x:v>
      </x:c>
      <x:c r="D26" s="82" t="n">
        <x:v>10</x:v>
      </x:c>
      <x:c r="E26" s="82" t="n">
        <x:v>10</x:v>
      </x:c>
      <x:c r="F26" s="59" t="n">
        <x:f t="shared" si="0">SUM(C26:E26)</x:f>
        <x:v>30</x:v>
      </x:c>
    </x:row>
    <x:row r="27" ht="15" customHeight="1">
      <x:c r="B27" s="87" t="s">
        <x:v>83</x:v>
      </x:c>
      <x:c r="C27" s="82" t="n">
        <x:f>C25-C26</x:f>
        <x:v>-105</x:v>
      </x:c>
      <x:c r="D27" s="82" t="n">
        <x:f>D25-D26</x:f>
        <x:v>5</x:v>
      </x:c>
      <x:c r="E27" s="82" t="n">
        <x:f>E25-E26</x:f>
        <x:v>-65</x:v>
      </x:c>
      <x:c r="F27" s="60" t="n">
        <x:f t="shared" si="0">SUM(C27:E27)</x:f>
        <x:v>-165</x:v>
      </x:c>
      <x:c r="G27" s="64" t="str">
        <x:f>IF(COUNT(C25:E25,C26:E26,C27:E27)&lt;9,"Chưa điền",IF(AND(ABS(C27-(C25-C26))&lt;0.01,ABS(D27-(D25-D26))&lt;0.01,ABS(E27-(E25-E26))&lt;0.01),"Đạt","Xem lại phép trừ"))</x:f>
        <x:v>Đạt</x:v>
      </x:c>
    </x:row>
    <x:row r="28" ht="15" customHeight="1">
      <x:c r="B28" s="58" t="s">
        <x:v>84</x:v>
      </x:c>
      <x:c r="C28" s="82" t="n">
        <x:v>3</x:v>
      </x:c>
      <x:c r="D28" s="82" t="n">
        <x:v>3</x:v>
      </x:c>
      <x:c r="E28" s="82" t="n">
        <x:v>3</x:v>
      </x:c>
      <x:c r="F28" s="59" t="n">
        <x:f t="shared" si="0">SUM(C28:E28)</x:f>
        <x:v>9</x:v>
      </x:c>
    </x:row>
    <x:row r="29" ht="15" customHeight="1">
      <x:c r="B29" s="87" t="s">
        <x:v>85</x:v>
      </x:c>
      <x:c r="C29" s="82" t="n">
        <x:f>C27-C28</x:f>
        <x:v>-108</x:v>
      </x:c>
      <x:c r="D29" s="82" t="n">
        <x:f>D27-D28</x:f>
        <x:v>2</x:v>
      </x:c>
      <x:c r="E29" s="82" t="n">
        <x:f>E27-E28</x:f>
        <x:v>-68</x:v>
      </x:c>
      <x:c r="F29" s="60" t="n">
        <x:f t="shared" si="0">SUM(C29:E29)</x:f>
        <x:v>-174</x:v>
      </x:c>
      <x:c r="G29" s="64" t="str">
        <x:f>IF(COUNT(C27:E27,C28:E28,C29:E29)&lt;9,"Chưa điền",IF(AND(ABS(C29-(C27-C28))&lt;0.01,ABS(D29-(D27-D28))&lt;0.01,ABS(E29-(E27-E28))&lt;0.01),"Đạt","Xem lại phép trừ"))</x:f>
        <x:v>Đạt</x:v>
      </x:c>
    </x:row>
    <x:row r="30" ht="15" customHeight="1">
      <x:c r="B30" s="58" t="s">
        <x:v>71</x:v>
      </x:c>
      <x:c r="C30" s="82" t="n">
        <x:v>0</x:v>
      </x:c>
      <x:c r="D30" s="82" t="n">
        <x:v>0</x:v>
      </x:c>
      <x:c r="E30" s="82" t="n">
        <x:v>0</x:v>
      </x:c>
      <x:c r="F30" s="59" t="n">
        <x:f t="shared" si="0">SUM(C30:E30)</x:f>
        <x:v>0</x:v>
      </x:c>
    </x:row>
    <x:row r="31" ht="15" customHeight="1">
      <x:c r="B31" s="87" t="s">
        <x:v>86</x:v>
      </x:c>
      <x:c r="C31" s="82" t="n">
        <x:f>C29-C30</x:f>
        <x:v>-108</x:v>
      </x:c>
      <x:c r="D31" s="82" t="n">
        <x:f>D29-D30</x:f>
        <x:v>2</x:v>
      </x:c>
      <x:c r="E31" s="82" t="n">
        <x:f>E29-E30</x:f>
        <x:v>-68</x:v>
      </x:c>
      <x:c r="F31" s="60" t="n">
        <x:f t="shared" si="0">SUM(C31:E31)</x:f>
        <x:v>-174</x:v>
      </x:c>
      <x:c r="G31" s="64" t="str">
        <x:f>IF(COUNT(C29:E29,C30:E30,C31:E31)&lt;9,"Chưa điền",IF(AND(ABS(C31-(C29-C30))&lt;0.01,ABS(D31-(D29-D30))&lt;0.01,ABS(E31-(E29-E30))&lt;0.01),"Đạt","Xem lại phép trừ"))</x:f>
        <x:v>Đạt</x:v>
      </x:c>
    </x:row>
    <x:row r="32" ht="15" customHeight="1">
      <x:c r="B32" s="58" t="s">
        <x:v>87</x:v>
      </x:c>
      <x:c r="C32" s="61" t="n">
        <x:f>IFERROR(C23/C21,0)</x:f>
        <x:v>0.6428571428571429</x:v>
      </x:c>
      <x:c r="D32" s="61" t="n">
        <x:f>IFERROR(D23/D21,0)</x:f>
        <x:v>0.8157894736842105</x:v>
      </x:c>
      <x:c r="E32" s="61" t="n">
        <x:f>IFERROR(E23/E21,0)</x:f>
        <x:v>0.6538461538461539</x:v>
      </x:c>
      <x:c r="F32" s="61" t="n">
        <x:f>IFERROR(F23/F21,"")</x:f>
        <x:v>0.7307692307692307</x:v>
      </x:c>
    </x:row>
    <x:row r="33" ht="45" customHeight="1">
      <x:c r="B33" s="98" t="s">
        <x:v>88</x:v>
      </x:c>
      <x:c r="G33" s="99" t="str">
        <x:f>IF(COUNT(C31:E31)&lt;3,"Chưa điền",IF(ABS(F31+174)&lt;0.01,"Đạt: đã ghi theo kỳ","Chưa đúng: có giao dịch đang ghi theo ngày tiền vào ra (xem cột G, dòng 7–17)"))</x:f>
        <x:v>Đạt: đã ghi theo kỳ</x:v>
      </x:c>
    </x:row>
    <x:row r="34" ht="16.5" customHeight="1">
      <x:c r="A34" s="25" t="s">
        <x:v>89</x:v>
      </x:c>
      <x:c r="B34" s="25"/>
      <x:c r="C34" s="25"/>
      <x:c r="D34" s="25"/>
      <x:c r="E34" s="25"/>
      <x:c r="F34" s="25"/>
      <x:c r="G34" s="25"/>
    </x:row>
    <x:row r="35" ht="15" customHeight="1">
      <x:c r="B35" s="4" t="s">
        <x:v>74</x:v>
      </x:c>
      <x:c r="C35" s="4" t="s">
        <x:v>90</x:v>
      </x:c>
      <x:c r="G35" s="4" t="s">
        <x:v>76</x:v>
      </x:c>
    </x:row>
    <x:row r="36" ht="15" customHeight="1">
      <x:c r="B36" s="15" t="s">
        <x:v>91</x:v>
      </x:c>
    </x:row>
    <x:row r="37" ht="15" customHeight="1">
      <x:c r="B37" s="58" t="s">
        <x:v>92</x:v>
      </x:c>
      <x:c r="C37" s="82" t="n">
        <x:v>921</x:v>
      </x:c>
    </x:row>
    <x:row r="38" ht="15" customHeight="1">
      <x:c r="B38" s="58" t="s">
        <x:v>93</x:v>
      </x:c>
      <x:c r="C38" s="82" t="n">
        <x:v>90</x:v>
      </x:c>
    </x:row>
    <x:row r="39" ht="15" customHeight="1">
      <x:c r="B39" s="58" t="s">
        <x:v>94</x:v>
      </x:c>
      <x:c r="C39" s="82" t="n">
        <x:v>360</x:v>
      </x:c>
    </x:row>
    <x:row r="40" ht="15" customHeight="1">
      <x:c r="B40" s="58" t="s">
        <x:v>95</x:v>
      </x:c>
      <x:c r="C40" s="82" t="n">
        <x:v>-30</x:v>
      </x:c>
    </x:row>
    <x:row r="41" ht="15" customHeight="1">
      <x:c r="B41" s="87" t="s">
        <x:v>96</x:v>
      </x:c>
      <x:c r="C41" s="82" t="n">
        <x:f>SUM(C37:C40)</x:f>
        <x:v>1341</x:v>
      </x:c>
      <x:c r="G41" s="64" t="str">
        <x:f>IF(COUNT(C37:C41)&lt;5,"Chưa điền",IF(ABS(C41-SUM(C37:C40))&lt;0.01,"Đạt","Xem lại phép cộng"))</x:f>
        <x:v>Đạt</x:v>
      </x:c>
    </x:row>
    <x:row r="42" ht="15" customHeight="1">
      <x:c r="B42" s="15" t="s">
        <x:v>97</x:v>
      </x:c>
    </x:row>
    <x:row r="43" ht="15" customHeight="1">
      <x:c r="B43" s="58" t="s">
        <x:v>98</x:v>
      </x:c>
      <x:c r="C43" s="82" t="n">
        <x:v>35</x:v>
      </x:c>
    </x:row>
    <x:row r="44" ht="15" customHeight="1">
      <x:c r="B44" s="58" t="s">
        <x:v>99</x:v>
      </x:c>
      <x:c r="C44" s="82" t="n">
        <x:v>180</x:v>
      </x:c>
    </x:row>
    <x:row r="45" ht="15" customHeight="1">
      <x:c r="B45" s="58" t="s">
        <x:v>100</x:v>
      </x:c>
      <x:c r="C45" s="82" t="n">
        <x:v>300</x:v>
      </x:c>
    </x:row>
    <x:row r="46" ht="15" customHeight="1">
      <x:c r="B46" s="87" t="s">
        <x:v>101</x:v>
      </x:c>
      <x:c r="C46" s="82" t="n">
        <x:f>SUM(C43:C45)</x:f>
        <x:v>515</x:v>
      </x:c>
      <x:c r="G46" s="64" t="str">
        <x:f>IF(COUNT(C43:C46)&lt;4,"Chưa điền",IF(ABS(C46-SUM(C43:C45))&lt;0.01,"Đạt","Xem lại phép cộng"))</x:f>
        <x:v>Đạt</x:v>
      </x:c>
    </x:row>
    <x:row r="47" ht="15" customHeight="1">
      <x:c r="B47" s="15" t="s">
        <x:v>102</x:v>
      </x:c>
    </x:row>
    <x:row r="48" ht="15" customHeight="1">
      <x:c r="B48" s="58" t="s">
        <x:v>103</x:v>
      </x:c>
      <x:c r="C48" s="82" t="n">
        <x:v>1000</x:v>
      </x:c>
    </x:row>
    <x:row r="49" ht="15" customHeight="1">
      <x:c r="B49" s="58" t="s">
        <x:v>104</x:v>
      </x:c>
      <x:c r="C49" s="82" t="n">
        <x:f>F31</x:f>
        <x:v>-174</x:v>
      </x:c>
    </x:row>
    <x:row r="50" ht="15" customHeight="1">
      <x:c r="B50" s="87" t="s">
        <x:v>105</x:v>
      </x:c>
      <x:c r="C50" s="82" t="n">
        <x:f>SUM(C48:C49)</x:f>
        <x:v>826</x:v>
      </x:c>
      <x:c r="G50" s="64" t="str">
        <x:f>IF(COUNT(C48:C50)&lt;3,"Chưa điền",IF(ABS(C50-SUM(C48:C49))&lt;0.01,"Đạt","Xem lại phép cộng"))</x:f>
        <x:v>Đạt</x:v>
      </x:c>
    </x:row>
    <x:row r="51" ht="15" customHeight="1">
      <x:c r="B51" s="58" t="s">
        <x:v>106</x:v>
      </x:c>
      <x:c r="C51" s="82" t="n">
        <x:f>C46+C50</x:f>
        <x:v>1341</x:v>
      </x:c>
      <x:c r="G51" s="64" t="str">
        <x:f>IF(COUNT(C46,C50,C51)&lt;3,"Chưa điền",IF(ABS(C51-(C46+C50))&lt;0.01,"Đạt","Xem lại phép cộng"))</x:f>
        <x:v>Đạt</x:v>
      </x:c>
    </x:row>
    <x:row r="52" ht="15" customHeight="1">
      <x:c r="B52" s="87" t="s">
        <x:v>107</x:v>
      </x:c>
      <x:c r="G52" s="100" t="str">
        <x:f>IF(COUNT(C41,C51)&lt;2,"Chưa điền",IF(ABS(C41-C51)&lt;0.01,"Đạt: bảng đã cân","Chưa cân: tìm khoản ghi sai"))</x:f>
        <x:v>Đạt: bảng đã cân</x:v>
      </x:c>
    </x:row>
    <x:row r="53" ht="15" customHeight="1">
      <x:c r="B53" s="87" t="s">
        <x:v>108</x:v>
      </x:c>
      <x:c r="G53" s="100" t="str">
        <x:f>IF(COUNT(C49,F31)&lt;2,"Chưa điền",IF(ABS(C49-F31)&lt;0.01,"Đạt","Chưa khớp bài 1"))</x:f>
        <x:v>Đạt</x:v>
      </x:c>
    </x:row>
    <x:row r="55" ht="16.5" customHeight="1">
      <x:c r="A55" s="25" t="s">
        <x:v>109</x:v>
      </x:c>
      <x:c r="B55" s="25"/>
      <x:c r="C55" s="25"/>
      <x:c r="D55" s="25"/>
      <x:c r="E55" s="25"/>
      <x:c r="F55" s="25"/>
      <x:c r="G55" s="25"/>
    </x:row>
    <x:row r="56" ht="15" customHeight="1">
      <x:c r="B56" s="4" t="s">
        <x:v>74</x:v>
      </x:c>
      <x:c r="C56" s="4" t="s">
        <x:v>90</x:v>
      </x:c>
      <x:c r="G56" s="4" t="s">
        <x:v>76</x:v>
      </x:c>
    </x:row>
    <x:row r="57" ht="15" customHeight="1">
      <x:c r="B57" s="58" t="s">
        <x:v>86</x:v>
      </x:c>
      <x:c r="C57" s="82" t="n">
        <x:f>F31</x:f>
        <x:v>-174</x:v>
      </x:c>
    </x:row>
    <x:row r="58" ht="16.5" customHeight="1">
      <x:c r="B58" s="101" t="s">
        <x:v>110</x:v>
      </x:c>
      <x:c r="C58" s="82" t="n">
        <x:v>30</x:v>
      </x:c>
    </x:row>
    <x:row r="59" ht="31.5" customHeight="1">
      <x:c r="B59" s="101" t="s">
        <x:v>111</x:v>
      </x:c>
      <x:c r="C59" s="82" t="n">
        <x:v>-90</x:v>
      </x:c>
    </x:row>
    <x:row r="60" ht="31.5" customHeight="1">
      <x:c r="B60" s="101" t="s">
        <x:v>112</x:v>
      </x:c>
      <x:c r="C60" s="82" t="n">
        <x:v>35</x:v>
      </x:c>
    </x:row>
    <x:row r="61" ht="16.5" customHeight="1">
      <x:c r="B61" s="101" t="s">
        <x:v>113</x:v>
      </x:c>
      <x:c r="C61" s="82" t="n">
        <x:v>180</x:v>
      </x:c>
    </x:row>
    <x:row r="62" ht="15" customHeight="1">
      <x:c r="B62" s="87" t="s">
        <x:v>114</x:v>
      </x:c>
      <x:c r="C62" s="82" t="n">
        <x:f>SUM(C57:C61)</x:f>
        <x:v>-19</x:v>
      </x:c>
      <x:c r="G62" s="64" t="str">
        <x:f>IF(COUNT(C57:C62)&lt;6,"Chưa điền",IF(ABS(C62-SUM(C57:C61))&lt;0.01,"Đạt","Xem lại phép cộng"))</x:f>
        <x:v>Đạt</x:v>
      </x:c>
    </x:row>
    <x:row r="63" ht="15" customHeight="1">
      <x:c r="B63" s="58" t="s">
        <x:v>115</x:v>
      </x:c>
      <x:c r="C63" s="82" t="n">
        <x:v>-360</x:v>
      </x:c>
    </x:row>
    <x:row r="64" ht="15" customHeight="1">
      <x:c r="B64" s="87" t="s">
        <x:v>116</x:v>
      </x:c>
      <x:c r="C64" s="82" t="n">
        <x:f>C63</x:f>
        <x:v>-360</x:v>
      </x:c>
      <x:c r="G64" s="64" t="str">
        <x:f>IF(COUNT(C63:C64)&lt;2,"Chưa điền",IF(ABS(C64-SUM(C63:C63))&lt;0.01,"Đạt","Xem lại phép cộng"))</x:f>
        <x:v>Đạt</x:v>
      </x:c>
    </x:row>
    <x:row r="65" ht="15" customHeight="1">
      <x:c r="B65" s="58" t="s">
        <x:v>117</x:v>
      </x:c>
      <x:c r="C65" s="82" t="n">
        <x:v>1000</x:v>
      </x:c>
    </x:row>
    <x:row r="66" ht="15" customHeight="1">
      <x:c r="B66" s="58" t="s">
        <x:v>118</x:v>
      </x:c>
      <x:c r="C66" s="82" t="n">
        <x:v>300</x:v>
      </x:c>
    </x:row>
    <x:row r="67" ht="15" customHeight="1">
      <x:c r="B67" s="87" t="s">
        <x:v>119</x:v>
      </x:c>
      <x:c r="C67" s="82" t="n">
        <x:f>SUM(C65:C66)</x:f>
        <x:v>1300</x:v>
      </x:c>
      <x:c r="G67" s="64" t="str">
        <x:f>IF(COUNT(C65:C67)&lt;3,"Chưa điền",IF(ABS(C67-SUM(C65:C66))&lt;0.01,"Đạt","Xem lại phép cộng"))</x:f>
        <x:v>Đạt</x:v>
      </x:c>
    </x:row>
    <x:row r="68" ht="15" customHeight="1">
      <x:c r="B68" s="87" t="s">
        <x:v>120</x:v>
      </x:c>
      <x:c r="C68" s="82" t="n">
        <x:f>C62+C64+C67</x:f>
        <x:v>921</x:v>
      </x:c>
      <x:c r="G68" s="64" t="str">
        <x:f>IF(COUNT(C62,C64,C67,C68)&lt;4,"Chưa điền",IF(ABS(C68-(C62+C64+C67))&lt;0.01,"Đạt","Xem lại phép cộng"))</x:f>
        <x:v>Đạt</x:v>
      </x:c>
    </x:row>
    <x:row r="69" ht="15" customHeight="1">
      <x:c r="B69" s="58" t="s">
        <x:v>121</x:v>
      </x:c>
      <x:c r="C69" s="102" t="n">
        <x:v>0</x:v>
      </x:c>
    </x:row>
    <x:row r="70" ht="15" customHeight="1">
      <x:c r="B70" s="87" t="s">
        <x:v>122</x:v>
      </x:c>
      <x:c r="C70" s="82" t="n">
        <x:f>C68+C69</x:f>
        <x:v>921</x:v>
      </x:c>
      <x:c r="G70" s="64" t="str">
        <x:f>IF(COUNT(C68:C70)&lt;3,"Chưa điền",IF(ABS(C70-(C68+C69))&lt;0.01,"Đạt","Xem lại phép cộng"))</x:f>
        <x:v>Đạt</x:v>
      </x:c>
    </x:row>
    <x:row r="71" ht="31.5" customHeight="1">
      <x:c r="B71" s="87" t="s">
        <x:v>123</x:v>
      </x:c>
      <x:c r="G71" s="99" t="str">
        <x:f>IF(COUNT(C70,C37)&lt;2,"Chưa điền",IF(ABS(C70-C37)&lt;0.01,"Đạt: ba báo cáo đã khớp","Chưa khớp: soát dấu +/− ở dòng 58–66, rồi soát dòng Tiền ở bảng cân đối"))</x:f>
        <x:v>Đạt: ba báo cáo đã khớp</x:v>
      </x:c>
    </x:row>
    <x:row r="72" ht="15" customHeight="1">
      <x:c r="B72" s="87" t="s">
        <x:v>124</x:v>
      </x:c>
      <x:c r="G72" s="100" t="str">
        <x:f>IF(COUNT(C57,F31)&lt;2,"Chưa điền",IF(ABS(C57-F31)&lt;0.01,"Đạt","Chưa khớp bài 1"))</x:f>
        <x:v>Đạt</x:v>
      </x:c>
    </x:row>
    <x:row r="74" ht="15" customHeight="1">
      <x:c r="A74" s="15" t="s">
        <x:v>125</x:v>
      </x:c>
    </x:row>
    <x:row r="75" ht="48" customHeight="1">
      <x:c r="B75" s="101" t="s">
        <x:v>126</x:v>
      </x:c>
      <x:c r="C75" s="27" t="str">
        <x:v>Chỉ tháng 2 có lãi 2 triệu. Tiền mặt tháng 2 giảm 88 triệu: thu 80, trả AI tháng 1 là 15, kiểm tra 10, lương 120, văn phòng 20, lãi vay 3 (triệu đồng).</x:v>
      </x:c>
      <x:c r="D75" s="27"/>
      <x:c r="E75" s="27"/>
      <x:c r="F75" s="27"/>
      <x:c r="G75" s="27"/>
    </x:row>
    <x:row r="76" ht="48" customHeight="1">
      <x:c r="B76" s="101" t="s">
        <x:v>127</x:v>
      </x:c>
      <x:c r="C76" s="27" t="str">
        <x:v>Cuối tháng 3 còn 180 triệu doanh thu chưa thực hiện (nợ phải trả), vì mới cung cấp 3/12 tháng của khoản thu trước 240 triệu; 60 triệu đã ghi nhận doanh thu.</x:v>
      </x:c>
      <x:c r="D76" s="27"/>
      <x:c r="E76" s="27"/>
      <x:c r="F76" s="27"/>
      <x:c r="G76" s="27"/>
    </x:row>
    <x:row r="77" ht="48" customHeight="1">
      <x:c r="B77" s="101" t="s">
        <x:v>128</x:v>
      </x:c>
      <x:c r="C77" s="27" t="str">
        <x:v>Lỗ sau thuế 174 triệu nhưng dòng tiền kinh doanh chỉ âm 19 triệu do cộng lại khấu hao 30, cộng phải trả nhà cung cấp 35 và doanh thu nhận trước 180, trừ phải thu khách hàng 90.</x:v>
      </x:c>
      <x:c r="D77" s="27"/>
      <x:c r="E77" s="27"/>
      <x:c r="F77" s="27"/>
      <x:c r="G77" s="27"/>
    </x:row>
    <x:row r="78" ht="48" customHeight="1">
      <x:c r="B78" s="101" t="s">
        <x:v>129</x:v>
      </x:c>
      <x:c r="C78" s="27" t="str">
        <x:v>Nếu mỗi tháng giống tháng 3 và thu/chi tiếp tục theo lịch cũ, cần dự phóng dòng tiền thực tế, không thể suy ra thời gian sống chỉ từ lợi nhuận. Tiền cuối tháng 3 là 921 triệu; cần tính riêng nghĩa vụ nợ và khoản khách trả trước.</x:v>
      </x:c>
      <x:c r="D78" s="27"/>
      <x:c r="E78" s="27"/>
      <x:c r="F78" s="27"/>
      <x:c r="G78" s="27"/>
    </x:row>
    <x:row r="80" ht="15" customHeight="1">
      <x:c r="A80" s="15" t="s">
        <x:v>130</x:v>
      </x:c>
    </x:row>
    <x:row r="81" ht="31.5" customHeight="1">
      <x:c r="B81" s="88" t="s">
        <x:v>131</x:v>
      </x:c>
      <x:c r="C81" s="88"/>
      <x:c r="D81" s="88"/>
      <x:c r="E81" s="88"/>
      <x:c r="F81" s="88"/>
      <x:c r="G81" s="88"/>
    </x:row>
    <x:row r="82" ht="15" customHeight="1">
      <x:c r="B82" s="58" t="s">
        <x:v>132</x:v>
      </x:c>
      <x:c r="C82" s="102">
        <x:v>360</x:v>
      </x:c>
    </x:row>
    <x:row r="83" ht="15" customHeight="1">
      <x:c r="B83" s="58" t="s">
        <x:v>133</x:v>
      </x:c>
      <x:c r="C83" s="102">
        <x:v>12</x:v>
      </x:c>
    </x:row>
    <x:row r="84" ht="15" customHeight="1">
      <x:c r="B84" s="58" t="s">
        <x:v>134</x:v>
      </x:c>
      <x:c r="C84" s="102">
        <x:v>36</x:v>
      </x:c>
    </x:row>
    <x:row r="85" ht="15" customHeight="1">
      <x:c r="B85" s="58" t="s">
        <x:v>135</x:v>
      </x:c>
      <x:c r="C85" s="103">
        <x:v>0.15</x:v>
      </x:c>
    </x:row>
    <x:row r="86" ht="46.5" customHeight="1">
      <x:c r="B86" s="101" t="s">
        <x:v>136</x:v>
      </x:c>
      <x:c r="C86" s="104" t="n">
        <x:f>PV(C85/12,C84,-C83)</x:f>
        <x:v>346.1672084990662</x:v>
      </x:c>
      <x:c r="G86" s="64" t="str">
        <x:f>IF(C86="","Chưa điền",IF(ABS(C86-PV(C85/12,C84,-C83))&lt;1,"Đạt","Xem lại"))</x:f>
        <x:v>Đạt</x:v>
      </x:c>
    </x:row>
    <x:row r="87" ht="15" customHeight="1">
      <x:c r="B87" s="58" t="s">
        <x:v>137</x:v>
      </x:c>
      <x:c r="C87" s="83" t="str">
        <x:f>IF(C86&lt;C82,"Thuê","Mua")</x:f>
        <x:v>Thuê</x:v>
      </x:c>
      <x:c r="G87" s="64" t="str">
        <x:f>IF(C87="","Chưa điền",IF(C87=IF(PV(C85/12,C84,-C83)&lt;C82,"Thuê","Mua"),"Đạt","Xem lại"))</x:f>
        <x:v>Đạt</x:v>
      </x:c>
    </x:row>
    <x:row r="88" ht="31.5" customHeight="1">
      <x:c r="B88" s="101" t="s">
        <x:v>138</x:v>
      </x:c>
      <x:c r="C88" s="104" t="n">
        <x:f>PV(8%/12,C84,-C83)</x:f>
        <x:v>382.94166612173467</x:v>
      </x:c>
      <x:c r="G88" s="64" t="str">
        <x:f>IF(C88="","Chưa điền",IF(ABS(C88-PV(0.08/12,C84,-C83))&lt;1,"Đạt","Xem lại"))</x:f>
        <x:v>Đạt</x:v>
      </x:c>
    </x:row>
    <x:row r="89" ht="15" customHeight="1">
      <x:c r="B89" s="58" t="s">
        <x:v>139</x:v>
      </x:c>
      <x:c r="C89" s="83" t="str">
        <x:f>IF(C88&lt;C82,"Thuê","Mua")</x:f>
        <x:v>Mua</x:v>
      </x:c>
      <x:c r="G89" s="64" t="str">
        <x:f>IF(C89="","Chưa điền",IF(C89=IF(PV(0.08/12,C84,-C83)&lt;C82,"Thuê","Mua"),"Đạt","Xem lại"))</x:f>
        <x:v>Đạt</x:v>
      </x:c>
    </x:row>
  </x:sheetData>
  <x:mergeCells>
    <x:mergeCell ref="A3:G3"/>
    <x:mergeCell ref="A19:G19"/>
    <x:mergeCell ref="A34:G34"/>
    <x:mergeCell ref="A55:G55"/>
    <x:mergeCell ref="C75:G75"/>
    <x:mergeCell ref="C76:G76"/>
    <x:mergeCell ref="C77:G77"/>
    <x:mergeCell ref="C78:G78"/>
    <x:mergeCell ref="B81:G81"/>
  </x:mergeCells>
  <x:dataValidations count="1">
    <x:dataValidation type="list" allowBlank="1" sqref="C87 C89">
      <x:formula1>"Mua,Thuê"</x:formula1>
    </x:dataValidation>
  </x:dataValidations>
  <x:pageMargins left="0.7" right="0.7" top="0.75" bottom="0.75" header="0.3" footer="0.3"/>
</x:worksheet>
</file>

<file path=xl/worksheets/sheet4.xml><?xml version="1.0" encoding="utf-8"?>
<x:worksheet xmlns:x="http://schemas.openxmlformats.org/spreadsheetml/2006/main">
  <x:sheetFormatPr defaultColWidth="8.675926208496094" defaultRowHeight="14.399999618530273"/>
  <x:cols>
    <x:col min="1" max="1" width="48" style="1" customWidth="1"/>
    <x:col min="2" max="2" width="22" style="1" customWidth="1"/>
    <x:col min="3" max="3" width="18" style="1" customWidth="1"/>
    <x:col min="4" max="4" width="60" style="1" customWidth="1"/>
    <x:col min="5" max="5" width="64" style="1" customWidth="1"/>
  </x:cols>
  <x:sheetData>
    <x:row r="1" ht="17.25" customHeight="1">
      <x:c r="A1" s="10" t="s">
        <x:v>140</x:v>
      </x:c>
    </x:row>
    <x:row r="2" ht="15" customHeight="1">
      <x:c r="A2" s="11" t="s">
        <x:v>141</x:v>
      </x:c>
    </x:row>
    <x:row r="3" ht="31.5" customHeight="1">
      <x:c r="A3" s="89" t="s">
        <x:v>142</x:v>
      </x:c>
      <x:c r="B3" s="89"/>
      <x:c r="C3" s="89"/>
      <x:c r="D3" s="89"/>
      <x:c r="E3" s="89"/>
    </x:row>
    <x:row r="4" ht="15" customHeight="1">
      <x:c r="A4" s="4" t="s">
        <x:v>143</x:v>
      </x:c>
      <x:c r="B4" s="4" t="s">
        <x:v>144</x:v>
      </x:c>
      <x:c r="C4" s="4" t="s">
        <x:v>145</x:v>
      </x:c>
      <x:c r="D4" s="4" t="s">
        <x:v>146</x:v>
      </x:c>
      <x:c r="E4" s="4" t="s">
        <x:v>147</x:v>
      </x:c>
    </x:row>
    <x:row r="5" ht="30" customHeight="1">
      <x:c r="A5" s="29" t="s">
        <x:v>148</x:v>
      </x:c>
      <x:c r="B5" s="90" t="str">
        <x:v>AI nhận thông tin sản phẩm hoặc đánh giá của người mua và tạo 1 mô tả sản phẩm hoặc 1 câu trả lời đánh giá để chủ shop duyệt.</x:v>
      </x:c>
      <x:c r="C5" s="31"/>
      <x:c r="D5" s="91" t="str">
        <x:v>Đề bài 3 – ShopViết, CS9_DeBai_GiaDinh.pdf tr. 6</x:v>
      </x:c>
      <x:c r="E5" s="33" t="s">
        <x:v>149</x:v>
      </x:c>
    </x:row>
    <x:row r="6" ht="30" customHeight="1">
      <x:c r="A6" s="29" t="s">
        <x:v>150</x:v>
      </x:c>
      <x:c r="B6" s="92" t="n">
        <x:v>1</x:v>
      </x:c>
      <x:c r="C6" s="31" t="s">
        <x:v>151</x:v>
      </x:c>
      <x:c r="D6" s="91" t="str">
        <x:v>Đề bài 3 – ShopViết, CS9_DeBai_GiaDinh.pdf tr. 6</x:v>
      </x:c>
      <x:c r="E6" s="33" t="s">
        <x:v>152</x:v>
      </x:c>
    </x:row>
    <x:row r="7" ht="43.5" customHeight="1">
      <x:c r="A7" s="29" t="s">
        <x:v>153</x:v>
      </x:c>
      <x:c r="B7" s="92" t="n">
        <x:v>1200</x:v>
      </x:c>
      <x:c r="C7" s="31" t="s">
        <x:v>154</x:v>
      </x:c>
      <x:c r="D7" s="91" t="str">
        <x:v>Đề bài 3 – ShopViết, CS9_DeBai_GiaDinh.pdf tr. 6</x:v>
      </x:c>
      <x:c r="E7" s="33" t="s">
        <x:v>155</x:v>
      </x:c>
    </x:row>
    <x:row r="8" ht="15.75" customHeight="1">
      <x:c r="A8" s="29" t="s">
        <x:v>156</x:v>
      </x:c>
      <x:c r="B8" s="92" t="n">
        <x:v>400</x:v>
      </x:c>
      <x:c r="C8" s="31" t="s">
        <x:v>154</x:v>
      </x:c>
      <x:c r="D8" s="91" t="str">
        <x:v>Đề bài 3 – ShopViết, CS9_DeBai_GiaDinh.pdf tr. 6</x:v>
      </x:c>
      <x:c r="E8" s="33" t="s">
        <x:v>157</x:v>
      </x:c>
    </x:row>
    <x:row r="9" ht="43.5" customHeight="1">
      <x:c r="A9" s="29" t="s">
        <x:v>158</x:v>
      </x:c>
      <x:c r="B9" s="92" t="n">
        <x:v>0.1</x:v>
      </x:c>
      <x:c r="C9" s="31" t="s">
        <x:v>159</x:v>
      </x:c>
      <x:c r="D9" s="91" t="str">
        <x:v>Đề bài 3 – ShopViết, CS9_DeBai_GiaDinh.pdf tr. 6; giá token và tỷ giá theo dữ liệu bài tập (không phải báo giá mới)</x:v>
      </x:c>
      <x:c r="E9" s="33" t="s">
        <x:v>160</x:v>
      </x:c>
    </x:row>
    <x:row r="10" ht="30" customHeight="1">
      <x:c r="A10" s="29" t="s">
        <x:v>161</x:v>
      </x:c>
      <x:c r="B10" s="92" t="n">
        <x:v>0.5</x:v>
      </x:c>
      <x:c r="C10" s="31" t="s">
        <x:v>159</x:v>
      </x:c>
      <x:c r="D10" s="91" t="str">
        <x:v>Đề bài 3 – ShopViết, CS9_DeBai_GiaDinh.pdf tr. 6; giá token và tỷ giá theo dữ liệu bài tập (không phải báo giá mới)</x:v>
      </x:c>
      <x:c r="E10" s="33" t="s">
        <x:v>162</x:v>
      </x:c>
    </x:row>
    <x:row r="11" ht="30" customHeight="1">
      <x:c r="A11" s="29" t="s">
        <x:v>163</x:v>
      </x:c>
      <x:c r="B11" s="92" t="n">
        <x:v>26170</x:v>
      </x:c>
      <x:c r="C11" s="31" t="s">
        <x:v>164</x:v>
      </x:c>
      <x:c r="D11" s="91" t="str">
        <x:v>Đề bài 3 – ShopViết, CS9_DeBai_GiaDinh.pdf tr. 6; giá token và tỷ giá theo dữ liệu bài tập (không phải báo giá mới)</x:v>
      </x:c>
      <x:c r="E11" s="33" t="s">
        <x:v>165</x:v>
      </x:c>
    </x:row>
    <x:row r="12" ht="30" customHeight="1">
      <x:c r="A12" s="29" t="s">
        <x:v>166</x:v>
      </x:c>
      <x:c r="B12" s="35" t="n">
        <x:v>0.05</x:v>
      </x:c>
      <x:c r="C12" s="31" t="s">
        <x:v>167</x:v>
      </x:c>
      <x:c r="D12" s="91" t="str">
        <x:v>Đề bài 3 – ShopViết, CS9_DeBai_GiaDinh.pdf tr. 6</x:v>
      </x:c>
      <x:c r="E12" s="33" t="s">
        <x:v>168</x:v>
      </x:c>
    </x:row>
    <x:row r="13" ht="43.5" customHeight="1">
      <x:c r="A13" s="29" t="s">
        <x:v>169</x:v>
      </x:c>
      <x:c r="B13" s="92" t="n">
        <x:v>20</x:v>
      </x:c>
      <x:c r="C13" s="31" t="s">
        <x:v>170</x:v>
      </x:c>
      <x:c r="D13" s="91" t="str">
        <x:v>Đề bài 3 – ShopViết, CS9_DeBai_GiaDinh.pdf tr. 6</x:v>
      </x:c>
      <x:c r="E13" s="33" t="s">
        <x:v>171</x:v>
      </x:c>
    </x:row>
    <x:row r="14" ht="30" customHeight="1">
      <x:c r="A14" s="29" t="s">
        <x:v>172</x:v>
      </x:c>
      <x:c r="B14" s="35" t="n">
        <x:v>0.02</x:v>
      </x:c>
      <x:c r="C14" s="31" t="s">
        <x:v>167</x:v>
      </x:c>
      <x:c r="D14" s="91" t="str">
        <x:v>Đề bài 3 – ShopViết, CS9_DeBai_GiaDinh.pdf tr. 6</x:v>
      </x:c>
      <x:c r="E14" s="33" t="s">
        <x:v>173</x:v>
      </x:c>
    </x:row>
    <x:row r="15" ht="15.75" customHeight="1">
      <x:c r="A15" s="29" t="s">
        <x:v>174</x:v>
      </x:c>
      <x:c r="B15" s="92" t="n">
        <x:v>1</x:v>
      </x:c>
      <x:c r="C15" s="31" t="s">
        <x:v>175</x:v>
      </x:c>
      <x:c r="D15" s="91" t="str">
        <x:v>Đề bài 3 – ShopViết, CS9_DeBai_GiaDinh.pdf tr. 6</x:v>
      </x:c>
      <x:c r="E15" s="33" t="s">
        <x:v>176</x:v>
      </x:c>
    </x:row>
    <x:row r="16" ht="30" customHeight="1">
      <x:c r="A16" s="29" t="s">
        <x:v>177</x:v>
      </x:c>
      <x:c r="B16" s="92" t="n">
        <x:v>40000</x:v>
      </x:c>
      <x:c r="C16" s="31" t="s">
        <x:v>178</x:v>
      </x:c>
      <x:c r="D16" s="91" t="str">
        <x:v>Đề bài 3 – ShopViết, CS9_DeBai_GiaDinh.pdf tr. 6</x:v>
      </x:c>
      <x:c r="E16" s="33" t="s">
        <x:v>179</x:v>
      </x:c>
    </x:row>
    <x:row r="17" ht="30" customHeight="1">
      <x:c r="A17" s="29" t="s">
        <x:v>180</x:v>
      </x:c>
      <x:c r="B17" s="92" t="n">
        <x:v>5</x:v>
      </x:c>
      <x:c r="C17" s="31" t="s">
        <x:v>170</x:v>
      </x:c>
      <x:c r="D17" s="91" t="str">
        <x:v>Đề bài 3 – ShopViết, CS9_DeBai_GiaDinh.pdf tr. 6</x:v>
      </x:c>
      <x:c r="E17" s="33" t="s">
        <x:v>181</x:v>
      </x:c>
    </x:row>
    <x:row r="18" ht="15.75" customHeight="1">
      <x:c r="A18" s="29" t="s">
        <x:v>182</x:v>
      </x:c>
      <x:c r="B18" s="92" t="n">
        <x:v>5</x:v>
      </x:c>
      <x:c r="C18" s="31" t="s">
        <x:v>170</x:v>
      </x:c>
      <x:c r="D18" s="91" t="str">
        <x:v>Đề bài 3 – ShopViết, CS9_DeBai_GiaDinh.pdf tr. 6</x:v>
      </x:c>
      <x:c r="E18" s="33" t="s">
        <x:v>183</x:v>
      </x:c>
    </x:row>
    <x:row r="20" ht="15" customHeight="1">
      <x:c r="A20" s="15" t="s">
        <x:v>184</x:v>
      </x:c>
    </x:row>
    <x:row r="21" ht="15" customHeight="1">
      <x:c r="A21" s="12" t="s">
        <x:v>185</x:v>
      </x:c>
      <x:c r="B21" s="23" t="n">
        <x:f>IFERROR(B6*(B7*B9+B8*B10)/1000000*B11*(1+B12),0)</x:f>
        <x:v>8.793120000000002</x:v>
      </x:c>
    </x:row>
    <x:row r="22" ht="15" customHeight="1">
      <x:c r="A22" s="12" t="s">
        <x:v>186</x:v>
      </x:c>
      <x:c r="B22" s="23" t="n">
        <x:f>IFERROR(B14*B15/60*B16,0)</x:f>
        <x:v>13.333333333333332</x:v>
      </x:c>
    </x:row>
    <x:row r="23" ht="15" customHeight="1">
      <x:c r="A23" s="12" t="s">
        <x:v>187</x:v>
      </x:c>
      <x:c r="B23" s="23" t="n">
        <x:f>B13+B17+B18</x:f>
        <x:v>30</x:v>
      </x:c>
    </x:row>
    <x:row r="24" ht="15.75" customHeight="1">
      <x:c r="A24" s="12" t="s">
        <x:v>188</x:v>
      </x:c>
      <x:c r="B24" s="38" t="n">
        <x:f>B21+B22+B23</x:f>
        <x:v>52.12645333333333</x:v>
      </x:c>
      <x:c r="E24" s="75" t="s">
        <x:v>189</x:v>
      </x:c>
    </x:row>
    <x:row r="25" ht="15" customHeight="1">
      <x:c r="A25" s="12" t="s">
        <x:v>190</x:v>
      </x:c>
      <x:c r="B25" s="19" t="n">
        <x:f>IFERROR((B24-B21)/B21,0)</x:f>
        <x:v>4.928095298748717</x:v>
      </x:c>
      <x:c r="C25" s="3" t="s">
        <x:v>191</x:v>
      </x:c>
    </x:row>
    <x:row r="26" ht="15" customHeight="1">
      <x:c r="A26" s="12" t="s">
        <x:v>192</x:v>
      </x:c>
      <x:c r="B26" s="23" t="n">
        <x:f>3*B24</x:f>
        <x:v>156.37936</x:v>
      </x:c>
      <x:c r="C26" s="3" t="s">
        <x:v>193</x:v>
      </x:c>
    </x:row>
    <x:row r="27" ht="15" customHeight="1">
      <x:c r="A27" s="12" t="s">
        <x:v>194</x:v>
      </x:c>
      <x:c r="B27" s="23" t="n">
        <x:f>B24/(1-0.6)</x:f>
        <x:v>130.3161333333333</x:v>
      </x:c>
      <x:c r="C27" s="3" t="s">
        <x:v>195</x:v>
      </x:c>
    </x:row>
  </x:sheetData>
  <x:mergeCells>
    <x:mergeCell ref="A3:E3"/>
  </x:mergeCells>
  <x:pageMargins left="0.7" right="0.7" top="0.75" bottom="0.75" header="0.3" footer="0.3"/>
</x:worksheet>
</file>

<file path=xl/worksheets/sheet5.xml><?xml version="1.0" encoding="utf-8"?>
<x:worksheet xmlns:x="http://schemas.openxmlformats.org/spreadsheetml/2006/main">
  <x:sheetFormatPr defaultColWidth="8.675926208496094" defaultRowHeight="14.399999618530273"/>
  <x:cols>
    <x:col min="1" max="1" width="44" style="1" customWidth="1"/>
    <x:col min="2" max="3" width="30" style="1" customWidth="1"/>
    <x:col min="4" max="4" width="22" style="1" customWidth="1"/>
    <x:col min="5" max="5" width="20" style="1" customWidth="1"/>
    <x:col min="6" max="6" width="18" style="1" customWidth="1"/>
    <x:col min="7" max="7" width="22" style="1" customWidth="1"/>
    <x:col min="8" max="8" width="20" style="1" customWidth="1"/>
    <x:col min="9" max="9" width="46" style="1" customWidth="1"/>
  </x:cols>
  <x:sheetData>
    <x:row r="1" ht="17.25" customHeight="1">
      <x:c r="A1" s="10" t="s">
        <x:v>196</x:v>
      </x:c>
    </x:row>
    <x:row r="2" ht="15" customHeight="1">
      <x:c r="A2" s="11" t="s">
        <x:v>197</x:v>
      </x:c>
    </x:row>
    <x:row r="4" ht="15" customHeight="1">
      <x:c r="A4" s="4" t="s">
        <x:v>198</x:v>
      </x:c>
      <x:c r="B4" s="4" t="s">
        <x:v>144</x:v>
      </x:c>
      <x:c r="C4" s="4" t="s">
        <x:v>54</x:v>
      </x:c>
      <x:c r="D4" s="4" t="s">
        <x:v>146</x:v>
      </x:c>
    </x:row>
    <x:row r="5" ht="48" customHeight="1">
      <x:c r="A5" s="43" t="s">
        <x:v>199</x:v>
      </x:c>
      <x:c r="B5" s="76" t="str">
        <x:v>Phần mềm: người bán tự trả từ ngân sách nhỏ</x:v>
      </x:c>
      <x:c r="C5" s="13" t="s">
        <x:v>200</x:v>
      </x:c>
      <x:c r="D5" s="77" t="str">
        <x:v>Đề bài 3 – ShopViết, PDF trang 6–7</x:v>
      </x:c>
    </x:row>
    <x:row r="6" ht="63" customHeight="1">
      <x:c r="A6" s="43" t="s">
        <x:v>201</x:v>
      </x:c>
      <x:c r="B6" s="76" t="str">
        <x:v>Kết hợp: phí cố định + phí vượt hạn mức</x:v>
      </x:c>
      <x:c r="C6" s="13" t="s">
        <x:v>202</x:v>
      </x:c>
      <x:c r="D6" s="77" t="str">
        <x:v>Đề bài 3 – ShopViết, PDF trang 6–7</x:v>
      </x:c>
    </x:row>
    <x:row r="7" ht="48" customHeight="1">
      <x:c r="A7" s="43" t="s">
        <x:v>203</x:v>
      </x:c>
      <x:c r="B7" s="76" t="str">
        <x:v>Phí tháng dễ dự toán; thu vượt hạn mức để hạn chế lỗ khi sử dụng nhiều. Đề bài 3 đã chọn cách tính này.</x:v>
      </x:c>
      <x:c r="D7" s="77" t="str">
        <x:v>Đề bài 3 – ShopViết, PDF trang 6–7</x:v>
      </x:c>
    </x:row>
    <x:row r="8" ht="48" customHeight="1">
      <x:c r="A8" s="43" t="s">
        <x:v>204</x:v>
      </x:c>
      <x:c r="B8" s="76" t="str">
        <x:v>So với 3.000.000 đồng/tháng chi phí cộng tác viên viết nội dung</x:v>
      </x:c>
      <x:c r="C8" s="13" t="s">
        <x:v>205</x:v>
      </x:c>
      <x:c r="D8" s="77" t="str">
        <x:v>Đề bài 3 – ShopViết, PDF trang 6–7</x:v>
      </x:c>
    </x:row>
    <x:row r="9" ht="15" customHeight="1">
      <x:c r="A9" s="12" t="s">
        <x:v>206</x:v>
      </x:c>
      <x:c r="B9" s="78" t="n">
        <x:v>99000</x:v>
      </x:c>
      <x:c r="C9" s="1" t="s">
        <x:v>170</x:v>
      </x:c>
      <x:c r="D9" s="77" t="str">
        <x:v>Đề bài 3 – ShopViết, PDF trang 6–7</x:v>
      </x:c>
    </x:row>
    <x:row r="10" ht="15" customHeight="1">
      <x:c r="A10" s="12" t="s">
        <x:v>207</x:v>
      </x:c>
      <x:c r="B10" s="78" t="n">
        <x:v>300</x:v>
      </x:c>
      <x:c r="C10" s="1" t="s">
        <x:v>208</x:v>
      </x:c>
      <x:c r="D10" s="77" t="str">
        <x:v>Đề bài 3 – ShopViết, PDF trang 6–7</x:v>
      </x:c>
    </x:row>
    <x:row r="11" ht="15" customHeight="1">
      <x:c r="A11" s="12" t="s">
        <x:v>209</x:v>
      </x:c>
      <x:c r="B11" s="78" t="n">
        <x:v>300</x:v>
      </x:c>
      <x:c r="C11" s="1" t="s">
        <x:v>210</x:v>
      </x:c>
      <x:c r="D11" s="77" t="str">
        <x:v>Đề bài 3 – ShopViết, PDF trang 6–7</x:v>
      </x:c>
    </x:row>
    <x:row r="12" ht="31.5" customHeight="1">
      <x:c r="A12" s="43" t="s">
        <x:v>211</x:v>
      </x:c>
      <x:c r="B12" s="78" t="n">
        <x:v>99000</x:v>
      </x:c>
      <x:c r="C12" s="1" t="s">
        <x:v>212</x:v>
      </x:c>
      <x:c r="D12" s="77" t="str">
        <x:v>Đề bài 3 – ShopViết, PDF trang 6–7</x:v>
      </x:c>
    </x:row>
    <x:row r="14" ht="46.5" customHeight="1">
      <x:c r="A14" s="4" t="s">
        <x:v>213</x:v>
      </x:c>
      <x:c r="B14" s="56" t="s">
        <x:v>214</x:v>
      </x:c>
      <x:c r="C14" s="56" t="s">
        <x:v>215</x:v>
      </x:c>
      <x:c r="D14" s="4" t="s">
        <x:v>216</x:v>
      </x:c>
      <x:c r="E14" s="56" t="s">
        <x:v>217</x:v>
      </x:c>
      <x:c r="F14" s="4" t="s">
        <x:v>218</x:v>
      </x:c>
      <x:c r="G14" s="4" t="s">
        <x:v>219</x:v>
      </x:c>
      <x:c r="H14" s="4" t="s">
        <x:v>220</x:v>
      </x:c>
      <x:c r="I14" s="4" t="s">
        <x:v>146</x:v>
      </x:c>
    </x:row>
    <x:row r="15" ht="15" customHeight="1">
      <x:c r="A15" s="12" t="s">
        <x:v>221</x:v>
      </x:c>
      <x:c r="B15" s="79" t="n">
        <x:v>0.85</x:v>
      </x:c>
      <x:c r="C15" s="80" t="n">
        <x:v>120</x:v>
      </x:c>
      <x:c r="D15" s="23" t="n">
        <x:f>B9+MAX(0,C15-B10)*B11</x:f>
        <x:v>99000</x:v>
      </x:c>
      <x:c r="E15" s="23" t="n">
        <x:f>C15*'1_Chi phí mỗi việc'!B24</x:f>
        <x:v>6255.1744</x:v>
      </x:c>
      <x:c r="F15" s="19" t="n">
        <x:f>IFERROR((D15-E15)/D15,0)</x:f>
        <x:v>0.9368164202020202</x:v>
      </x:c>
      <x:c r="G15" s="23" t="n">
        <x:f>B12</x:f>
        <x:v>99000</x:v>
      </x:c>
      <x:c r="H15" s="19" t="n">
        <x:f>IFERROR((G15-E15)/G15,0)</x:f>
        <x:v>0.9368164202020202</x:v>
      </x:c>
      <x:c r="I15" s="77" t="str">
        <x:v>Đề bài 3 – ShopViết, trang 6</x:v>
      </x:c>
    </x:row>
    <x:row r="16" ht="15" customHeight="1">
      <x:c r="A16" s="12" t="s">
        <x:v>222</x:v>
      </x:c>
      <x:c r="B16" s="79" t="n">
        <x:v>0.15</x:v>
      </x:c>
      <x:c r="C16" s="80" t="n">
        <x:v>1200</x:v>
      </x:c>
      <x:c r="D16" s="23" t="n">
        <x:f>B9+MAX(0,C16-B10)*B11</x:f>
        <x:v>369000</x:v>
      </x:c>
      <x:c r="E16" s="23" t="n">
        <x:f>C16*'1_Chi phí mỗi việc'!B24</x:f>
        <x:v>62551.744</x:v>
      </x:c>
      <x:c r="F16" s="19" t="n">
        <x:f>IFERROR((D16-E16)/D16,0)</x:f>
        <x:v>0.8304830785907859</x:v>
      </x:c>
      <x:c r="G16" s="23" t="n">
        <x:f>B12</x:f>
        <x:v>99000</x:v>
      </x:c>
      <x:c r="H16" s="19" t="n">
        <x:f>IFERROR((G16-E16)/G16,0)</x:f>
        <x:v>0.36816420202020206</x:v>
      </x:c>
      <x:c r="I16" s="77" t="str">
        <x:v>Đề bài 3 – ShopViết, trang 6</x:v>
      </x:c>
    </x:row>
    <x:row r="17" ht="15" customHeight="1">
      <x:c r="A17" s="15" t="s">
        <x:v>223</x:v>
      </x:c>
      <x:c r="B17" s="19" t="n">
        <x:f>B15+B16</x:f>
        <x:v>1</x:v>
      </x:c>
      <x:c r="C17" s="44" t="n">
        <x:f>SUMPRODUCT(B15:B16,C15:C16)</x:f>
        <x:v>282</x:v>
      </x:c>
      <x:c r="D17" s="38" t="n">
        <x:f>SUMPRODUCT($B15:$B16,D15:D16)</x:f>
        <x:v>139500</x:v>
      </x:c>
      <x:c r="E17" s="38" t="n">
        <x:f>SUMPRODUCT($B15:$B16,E15:E16)</x:f>
        <x:v>14699.65984</x:v>
      </x:c>
      <x:c r="F17" s="81" t="n">
        <x:f>IFERROR((D17-E17)/D17,0)</x:f>
        <x:v>0.8946260943369175</x:v>
      </x:c>
      <x:c r="G17" s="38" t="n">
        <x:f>SUMPRODUCT($B15:$B16,G15:G16)</x:f>
        <x:v>99000</x:v>
      </x:c>
      <x:c r="H17" s="81" t="n">
        <x:f>IFERROR((G17-E17)/G17,0)</x:f>
        <x:v>0.8515185874747474</x:v>
      </x:c>
    </x:row>
    <x:row r="18" ht="15" customHeight="1">
      <x:c r="A18" s="1" t="s">
        <x:v>224</x:v>
      </x:c>
      <x:c r="B18" s="16" t="str">
        <x:f>IF(B17=0,"Chưa điền",IF(ABS(B17-1)&lt;0.001,"Đạt","Sai: tổng khác 100%"))</x:f>
        <x:v>Đạt</x:v>
      </x:c>
    </x:row>
    <x:row r="19" ht="15" customHeight="1">
      <x:c r="A19" s="1" t="s">
        <x:v>225</x:v>
      </x:c>
      <x:c r="B19" s="16" t="str">
        <x:f>IF(B11=0,"Chưa điền",IF(B11&gt;='1_Chi phí mỗi việc'!B26,"Đạt","Thấp hơn giá sàn"))</x:f>
        <x:v>Đạt</x:v>
      </x:c>
    </x:row>
    <x:row r="21" ht="15" customHeight="1">
      <x:c r="A21" s="1" t="s">
        <x:v>226</x:v>
      </x:c>
      <x:c r="B21" s="81" t="n">
        <x:f>IFERROR(B16*D16/D17,0)</x:f>
        <x:v>0.3967741935483871</x:v>
      </x:c>
    </x:row>
    <x:row r="22" ht="15" customHeight="1">
      <x:c r="A22" s="1" t="s">
        <x:v>227</x:v>
      </x:c>
      <x:c r="B22" s="81" t="n">
        <x:f>IFERROR(B16*MAX(0,C16-B10)*B11/D17,0)</x:f>
        <x:v>0.2903225806451613</x:v>
      </x:c>
    </x:row>
    <x:row r="23" ht="15" customHeight="1">
      <x:c r="A23" s="1" t="s">
        <x:v>228</x:v>
      </x:c>
      <x:c r="B23" s="16" t="str">
        <x:f>IF(D17=0,"Chưa điền",IF(B21&gt;0.5,"Trên 50% doanh thu đến từ khách dùng nhiều: xem tình huống đặc biệt ở trang 5","Đạt"))</x:f>
        <x:v>Đạt</x:v>
      </x:c>
    </x:row>
    <x:row r="25" ht="15" customHeight="1">
      <x:c r="A25" s="15" t="s">
        <x:v>229</x:v>
      </x:c>
    </x:row>
    <x:row r="26" ht="15" customHeight="1">
      <x:c r="A26" s="58" t="s">
        <x:v>230</x:v>
      </x:c>
      <x:c r="B26" s="82" t="n">
        <x:v>3000000</x:v>
      </x:c>
      <x:c r="C26" s="58" t="s">
        <x:v>212</x:v>
      </x:c>
      <x:c r="D26" s="83" t="str">
        <x:v>Đề bài 3 – ShopViết, PDF trang 6–7</x:v>
      </x:c>
    </x:row>
    <x:row r="27" ht="15" customHeight="1">
      <x:c r="A27" s="58" t="s">
        <x:v>231</x:v>
      </x:c>
      <x:c r="B27" s="84" t="n">
        <x:v>0</x:v>
      </x:c>
      <x:c r="C27" s="58" t="s">
        <x:v>232</x:v>
      </x:c>
      <x:c r="D27" s="83" t="str">
        <x:v>Đề bài 3 – ShopViết, PDF trang 6–7</x:v>
      </x:c>
    </x:row>
    <x:row r="28" ht="45" customHeight="1">
      <x:c r="A28" s="4" t="s">
        <x:v>213</x:v>
      </x:c>
      <x:c r="B28" s="4" t="s">
        <x:v>233</x:v>
      </x:c>
      <x:c r="C28" s="4" t="s">
        <x:v>234</x:v>
      </x:c>
      <x:c r="D28" s="4" t="s">
        <x:v>235</x:v>
      </x:c>
      <x:c r="E28" s="4" t="s">
        <x:v>236</x:v>
      </x:c>
      <x:c r="F28" s="4" t="s">
        <x:v>237</x:v>
      </x:c>
    </x:row>
    <x:row r="29" ht="30" customHeight="1">
      <x:c r="A29" s="58" t="s">
        <x:v>221</x:v>
      </x:c>
      <x:c r="B29" s="59" t="n">
        <x:f>D15</x:f>
        <x:v>99000</x:v>
      </x:c>
      <x:c r="C29" s="61" t="n">
        <x:f>IFERROR(B29/$B$26,"")</x:f>
        <x:v>0.033</x:v>
      </x:c>
      <x:c r="D29" s="85" t="str">
        <x:f>IF(C29="","",IF(C29&lt;0.5,"Dưới 50%: còn dư địa",IF(C29&lt;=0.7,"Trong vùng 50–70%","Trên 70%: khách thà thuê người? Xem dòng 34")))</x:f>
        <x:v>Dưới 50%: còn dư địa</x:v>
      </x:c>
      <x:c r="E29" s="86" t="n">
        <x:f>IFERROR(E15/B29,"")</x:f>
        <x:v>0.0631835797979798</x:v>
      </x:c>
      <x:c r="F29" s="64" t="str">
        <x:f>IF(E29="","",IF(E29&lt;0.3,"Ổn (dưới 0,3)",IF(E29&lt;=0.6,"Đáng lo (0,3–0,6)","Nguy (trên 0,6)")))</x:f>
        <x:v>Ổn (dưới 0,3)</x:v>
      </x:c>
    </x:row>
    <x:row r="30" ht="30" customHeight="1">
      <x:c r="A30" s="58" t="s">
        <x:v>238</x:v>
      </x:c>
      <x:c r="B30" s="59" t="n">
        <x:f>D16</x:f>
        <x:v>369000</x:v>
      </x:c>
      <x:c r="C30" s="61" t="n">
        <x:f>IFERROR(B30/$B$26,"")</x:f>
        <x:v>0.123</x:v>
      </x:c>
      <x:c r="D30" s="85" t="str">
        <x:f>IF(C30="","",IF(C30&lt;0.5,"Dưới 50%: còn dư địa",IF(C30&lt;=0.7,"Trong vùng 50–70%","Trên 70%: khách thà thuê người? Xem dòng 34")))</x:f>
        <x:v>Dưới 50%: còn dư địa</x:v>
      </x:c>
      <x:c r="E30" s="86" t="n">
        <x:f>IFERROR(E16/B30,"")</x:f>
        <x:v>0.1695169214092141</x:v>
      </x:c>
      <x:c r="F30" s="64" t="str">
        <x:f>IF(E30="","",IF(E30&lt;0.3,"Ổn (dưới 0,3)",IF(E30&lt;=0.6,"Đáng lo (0,3–0,6)","Nguy (trên 0,6)")))</x:f>
        <x:v>Ổn (dưới 0,3)</x:v>
      </x:c>
    </x:row>
    <x:row r="31" ht="30" customHeight="1">
      <x:c r="A31" s="58" t="s">
        <x:v>239</x:v>
      </x:c>
      <x:c r="B31" s="59" t="n">
        <x:f>G16</x:f>
        <x:v>99000</x:v>
      </x:c>
      <x:c r="C31" s="61" t="n">
        <x:f>IFERROR(B31/$B$26,"")</x:f>
        <x:v>0.033</x:v>
      </x:c>
      <x:c r="D31" s="85" t="str">
        <x:f>IF(C31="","",IF(C31&lt;0.5,"Dưới 50%: còn dư địa",IF(C31&lt;=0.7,"Trong vùng 50–70%","Trên 70%: khách thà thuê người? Xem dòng 34")))</x:f>
        <x:v>Dưới 50%: còn dư địa</x:v>
      </x:c>
      <x:c r="E31" s="86" t="n">
        <x:f>IFERROR(E16/B31,"")</x:f>
        <x:v>0.6318357979797979</x:v>
      </x:c>
      <x:c r="F31" s="64" t="str">
        <x:f>IF(E31="","",IF(E31&lt;0.3,"Ổn (dưới 0,3)",IF(E31&lt;=0.6,"Đáng lo (0,3–0,6)","Nguy (trên 0,6)")))</x:f>
        <x:v>Nguy (trên 0,6)</x:v>
      </x:c>
    </x:row>
    <x:row r="32" ht="15" customHeight="1">
      <x:c r="A32" s="87" t="s">
        <x:v>240</x:v>
      </x:c>
      <x:c r="B32" s="63" t="n">
        <x:f>IFERROR((D17*(1-B27)-E17)/D17,"")</x:f>
        <x:v>0.8946260943369175</x:v>
      </x:c>
      <x:c r="C32" s="64" t="str">
        <x:f>IF(B32="","",IF(B32&gt;0.5,"Ổn",IF(B32&gt;=0.35,"Đáng lo","Nguy")))</x:f>
        <x:v>Ổn</x:v>
      </x:c>
      <x:c r="D32" s="3" t="s">
        <x:v>241</x:v>
      </x:c>
    </x:row>
    <x:row r="33" ht="30" customHeight="1">
      <x:c r="A33" s="88" t="s">
        <x:v>242</x:v>
      </x:c>
      <x:c r="B33" s="88"/>
      <x:c r="C33" s="88"/>
      <x:c r="D33" s="88"/>
      <x:c r="E33" s="88"/>
      <x:c r="F33" s="88"/>
      <x:c r="G33" s="88"/>
      <x:c r="H33" s="88"/>
      <x:c r="I33" s="88"/>
    </x:row>
    <x:row r="34" ht="30" customHeight="1">
      <x:c r="A34" s="88" t="s">
        <x:v>243</x:v>
      </x:c>
      <x:c r="B34" s="88"/>
      <x:c r="C34" s="88"/>
      <x:c r="D34" s="88"/>
      <x:c r="E34" s="88"/>
      <x:c r="F34" s="88"/>
      <x:c r="G34" s="88"/>
      <x:c r="H34" s="88"/>
      <x:c r="I34" s="88"/>
    </x:row>
    <x:row r="35" ht="15" customHeight="1">
      <x:c r="A35" s="15" t="s">
        <x:v>244</x:v>
      </x:c>
    </x:row>
    <x:row r="36" ht="15" customHeight="1">
      <x:c r="A36" s="58" t="s">
        <x:v>245</x:v>
      </x:c>
      <x:c r="B36" s="88" t="s">
        <x:v>246</x:v>
      </x:c>
      <x:c r="C36" s="88"/>
      <x:c r="D36" s="88"/>
      <x:c r="E36" s="88"/>
      <x:c r="F36" s="88"/>
      <x:c r="G36" s="88"/>
      <x:c r="H36" s="88"/>
      <x:c r="I36" s="88"/>
    </x:row>
    <x:row r="37" ht="30" customHeight="1">
      <x:c r="A37" s="58" t="s">
        <x:v>247</x:v>
      </x:c>
      <x:c r="B37" s="88" t="s">
        <x:v>248</x:v>
      </x:c>
      <x:c r="C37" s="88"/>
      <x:c r="D37" s="88"/>
      <x:c r="E37" s="88"/>
      <x:c r="F37" s="88"/>
      <x:c r="G37" s="88"/>
      <x:c r="H37" s="88"/>
      <x:c r="I37" s="88"/>
    </x:row>
    <x:row r="38" ht="15" customHeight="1">
      <x:c r="A38" s="58" t="s">
        <x:v>249</x:v>
      </x:c>
      <x:c r="B38" s="88" t="s">
        <x:v>250</x:v>
      </x:c>
      <x:c r="C38" s="88"/>
      <x:c r="D38" s="88"/>
      <x:c r="E38" s="88"/>
      <x:c r="F38" s="88"/>
      <x:c r="G38" s="88"/>
      <x:c r="H38" s="88"/>
      <x:c r="I38" s="88"/>
    </x:row>
    <x:row r="39" ht="15" customHeight="1">
      <x:c r="A39" s="58" t="s">
        <x:v>251</x:v>
      </x:c>
      <x:c r="B39" s="88" t="s">
        <x:v>252</x:v>
      </x:c>
      <x:c r="C39" s="88"/>
      <x:c r="D39" s="88"/>
      <x:c r="E39" s="88"/>
      <x:c r="F39" s="88"/>
      <x:c r="G39" s="88"/>
      <x:c r="H39" s="88"/>
      <x:c r="I39" s="88"/>
    </x:row>
    <x:row r="40" ht="15" customHeight="1">
      <x:c r="A40" s="58" t="s">
        <x:v>253</x:v>
      </x:c>
      <x:c r="B40" s="88" t="s">
        <x:v>254</x:v>
      </x:c>
      <x:c r="C40" s="88"/>
      <x:c r="D40" s="88"/>
      <x:c r="E40" s="88"/>
      <x:c r="F40" s="88"/>
      <x:c r="G40" s="88"/>
      <x:c r="H40" s="88"/>
      <x:c r="I40" s="88"/>
    </x:row>
  </x:sheetData>
  <x:mergeCells>
    <x:mergeCell ref="A33:I33"/>
    <x:mergeCell ref="A34:I34"/>
    <x:mergeCell ref="B36:I36"/>
    <x:mergeCell ref="B37:I37"/>
    <x:mergeCell ref="B38:I38"/>
    <x:mergeCell ref="B39:I39"/>
    <x:mergeCell ref="B40:I40"/>
  </x:mergeCells>
  <x:dataValidations count="2">
    <x:dataValidation type="list" allowBlank="1" sqref="B6">
      <x:formula1>"Theo người dùng,Theo lượt dùng,Theo kết quả,Kết hợp (phí cố định + vượt hạn mức)"</x:formula1>
    </x:dataValidation>
    <x:dataValidation type="decimal" operator="between" allowBlank="1" showErrorMessage="1" error="Nhập tỷ lệ từ 0% đến 90%." sqref="B27">
      <x:formula1>0</x:formula1>
      <x:formula2>0.9</x:formula2>
    </x:dataValidation>
  </x:dataValidations>
  <x:pageMargins left="0.7" right="0.7" top="0.75" bottom="0.75" header="0.3" footer="0.3"/>
</x:worksheet>
</file>

<file path=xl/worksheets/sheet6.xml><?xml version="1.0" encoding="utf-8"?>
<x:worksheet xmlns:x="http://schemas.openxmlformats.org/spreadsheetml/2006/main">
  <x:sheetFormatPr defaultColWidth="8.675926208496094" defaultRowHeight="14.399999618530273"/>
  <x:cols>
    <x:col min="1" max="1" width="44" style="1" customWidth="1"/>
    <x:col min="2" max="4" width="18" style="1" customWidth="1"/>
    <x:col min="5" max="5" width="14" style="1" customWidth="1"/>
    <x:col min="6" max="6" width="50" style="1" customWidth="1"/>
    <x:col min="7" max="7" width="56" style="1" customWidth="1"/>
  </x:cols>
  <x:sheetData>
    <x:row r="1" ht="17.25" customHeight="1">
      <x:c r="A1" s="10" t="s">
        <x:v>255</x:v>
      </x:c>
    </x:row>
    <x:row r="2" ht="15" customHeight="1">
      <x:c r="A2" s="11" t="s">
        <x:v>256</x:v>
      </x:c>
    </x:row>
    <x:row r="4" ht="15" customHeight="1">
      <x:c r="A4" s="4" t="s">
        <x:v>257</x:v>
      </x:c>
      <x:c r="B4" s="4" t="s">
        <x:v>258</x:v>
      </x:c>
      <x:c r="C4" s="4" t="s">
        <x:v>259</x:v>
      </x:c>
      <x:c r="D4" s="4" t="s">
        <x:v>260</x:v>
      </x:c>
      <x:c r="E4" s="4" t="s">
        <x:v>145</x:v>
      </x:c>
      <x:c r="F4" s="4" t="s">
        <x:v>146</x:v>
      </x:c>
      <x:c r="G4" s="4" t="s">
        <x:v>261</x:v>
      </x:c>
    </x:row>
    <x:row r="5" ht="31.5" customHeight="1">
      <x:c r="A5" s="34" t="s">
        <x:v>262</x:v>
      </x:c>
      <x:c r="B5" s="72">
        <x:v>1.1</x:v>
      </x:c>
      <x:c r="C5" s="72">
        <x:v>1</x:v>
      </x:c>
      <x:c r="D5" s="72">
        <x:v>0.8</x:v>
      </x:c>
      <x:c r="E5" s="31" t="s">
        <x:v>263</x:v>
      </x:c>
      <x:c r="F5" s="73" t="s">
        <x:v>264</x:v>
      </x:c>
      <x:c r="G5" s="33" t="s">
        <x:v>265</x:v>
      </x:c>
    </x:row>
    <x:row r="6" ht="31.5" customHeight="1">
      <x:c r="A6" s="34" t="s">
        <x:v>266</x:v>
      </x:c>
      <x:c r="B6" s="72">
        <x:v>0.9</x:v>
      </x:c>
      <x:c r="C6" s="72">
        <x:v>1</x:v>
      </x:c>
      <x:c r="D6" s="72">
        <x:v>1.2</x:v>
      </x:c>
      <x:c r="E6" s="31" t="s">
        <x:v>263</x:v>
      </x:c>
      <x:c r="F6" s="73"/>
      <x:c r="G6" s="33" t="s">
        <x:v>267</x:v>
      </x:c>
    </x:row>
    <x:row r="7" ht="31.5" customHeight="1">
      <x:c r="A7" s="34" t="s">
        <x:v>268</x:v>
      </x:c>
      <x:c r="B7" s="74" t="n">
        <x:f>C7*1.3</x:f>
        <x:v>390</x:v>
      </x:c>
      <x:c r="C7" s="74" t="n">
        <x:v>300</x:v>
      </x:c>
      <x:c r="D7" s="74" t="n">
        <x:f>C7*0.5</x:f>
        <x:v>150</x:v>
      </x:c>
      <x:c r="E7" s="31" t="s">
        <x:v>269</x:v>
      </x:c>
      <x:c r="F7" s="73" t="str">
        <x:v>Đề bài 3 – ShopViết, CS9_DeBai_GiaDinh.pdf trang 7; dữ liệu giả định của đề</x:v>
      </x:c>
      <x:c r="G7" s="33" t="s">
        <x:v>270</x:v>
      </x:c>
    </x:row>
    <x:row r="8" ht="46.5" customHeight="1">
      <x:c r="A8" s="34" t="s">
        <x:v>271</x:v>
      </x:c>
      <x:c r="B8" s="35" t="n">
        <x:f>C8*1.6</x:f>
        <x:v>0.128</x:v>
      </x:c>
      <x:c r="C8" s="35" t="n">
        <x:v>0.08</x:v>
      </x:c>
      <x:c r="D8" s="35" t="n">
        <x:f>C8*0.4</x:f>
        <x:v>0.032</x:v>
      </x:c>
      <x:c r="E8" s="31" t="s">
        <x:v>167</x:v>
      </x:c>
      <x:c r="F8" s="73" t="str">
        <x:v>Đề bài 3 – ShopViết, CS9_DeBai_GiaDinh.pdf trang 7; dữ liệu giả định của đề</x:v>
      </x:c>
      <x:c r="G8" s="33" t="s">
        <x:v>272</x:v>
      </x:c>
    </x:row>
    <x:row r="9" ht="43.5" customHeight="1">
      <x:c r="A9" s="34" t="s">
        <x:v>273</x:v>
      </x:c>
      <x:c r="B9" s="35" t="n">
        <x:f>C9*0.6</x:f>
        <x:v>0.09</x:v>
      </x:c>
      <x:c r="C9" s="35" t="n">
        <x:v>0.15</x:v>
      </x:c>
      <x:c r="D9" s="35" t="n">
        <x:f>C9*1.6</x:f>
        <x:v>0.24</x:v>
      </x:c>
      <x:c r="E9" s="31" t="s">
        <x:v>167</x:v>
      </x:c>
      <x:c r="F9" s="73" t="str">
        <x:v>Đề bài 3 – ShopViết, CS9_DeBai_GiaDinh.pdf trang 7; dữ liệu giả định của đề</x:v>
      </x:c>
      <x:c r="G9" s="33" t="s">
        <x:v>274</x:v>
      </x:c>
    </x:row>
    <x:row r="10" ht="31.5" customHeight="1">
      <x:c r="A10" s="34" t="s">
        <x:v>275</x:v>
      </x:c>
      <x:c r="B10" s="36" t="n">
        <x:f>C10*0.8</x:f>
        <x:v>560000</x:v>
      </x:c>
      <x:c r="C10" s="36" t="n">
        <x:v>700000</x:v>
      </x:c>
      <x:c r="D10" s="36" t="n">
        <x:f>C10*1.5</x:f>
        <x:v>1050000</x:v>
      </x:c>
      <x:c r="E10" s="31" t="s">
        <x:v>276</x:v>
      </x:c>
      <x:c r="F10" s="73" t="str">
        <x:v>Đề bài 3 – ShopViết, CS9_DeBai_GiaDinh.pdf trang 7; dữ liệu giả định của đề</x:v>
      </x:c>
      <x:c r="G10" s="33" t="s">
        <x:v>277</x:v>
      </x:c>
    </x:row>
    <x:row r="11" ht="46.5" customHeight="1">
      <x:c r="A11" s="34" t="s">
        <x:v>278</x:v>
      </x:c>
      <x:c r="B11" s="36" t="n">
        <x:f>C11</x:f>
        <x:v>120000000</x:v>
      </x:c>
      <x:c r="C11" s="36" t="n">
        <x:v>120000000</x:v>
      </x:c>
      <x:c r="D11" s="36" t="n">
        <x:f>C11</x:f>
        <x:v>120000000</x:v>
      </x:c>
      <x:c r="E11" s="31" t="s">
        <x:v>212</x:v>
      </x:c>
      <x:c r="F11" s="73" t="str">
        <x:v>Đề bài 3 – ShopViết, CS9_DeBai_GiaDinh.pdf trang 7; dữ liệu giả định của đề</x:v>
      </x:c>
      <x:c r="G11" s="75" t="s">
        <x:v>279</x:v>
      </x:c>
    </x:row>
    <x:row r="12" ht="76.5" customHeight="1">
      <x:c r="A12" s="43" t="s">
        <x:v>280</x:v>
      </x:c>
      <x:c r="B12" s="36" t="n">
        <x:f>C12</x:f>
        <x:v>400000000</x:v>
      </x:c>
      <x:c r="C12" s="36" t="n">
        <x:v>400000000</x:v>
      </x:c>
      <x:c r="D12" s="36" t="n">
        <x:f>C12</x:f>
        <x:v>400000000</x:v>
      </x:c>
      <x:c r="E12" s="31" t="s">
        <x:v>170</x:v>
      </x:c>
      <x:c r="F12" s="73" t="str">
        <x:v>Đề bài 3 – ShopViết, CS9_DeBai_GiaDinh.pdf trang 7; dữ liệu giả định của đề</x:v>
      </x:c>
      <x:c r="G12" s="75" t="s">
        <x:v>281</x:v>
      </x:c>
    </x:row>
    <x:row r="13" ht="31.5" customHeight="1">
      <x:c r="A13" s="34" t="s">
        <x:v>282</x:v>
      </x:c>
      <x:c r="B13" s="36" t="n">
        <x:f>C13</x:f>
        <x:v>1500000000</x:v>
      </x:c>
      <x:c r="C13" s="36" t="n">
        <x:v>1500000000</x:v>
      </x:c>
      <x:c r="D13" s="36" t="n">
        <x:f>C13</x:f>
        <x:v>1500000000</x:v>
      </x:c>
      <x:c r="E13" s="31" t="s">
        <x:v>170</x:v>
      </x:c>
      <x:c r="F13" s="73" t="str">
        <x:v>Đề bài 3 – ShopViết, CS9_DeBai_GiaDinh.pdf trang 7; dữ liệu giả định của đề</x:v>
      </x:c>
      <x:c r="G13" s="33" t="s">
        <x:v>283</x:v>
      </x:c>
    </x:row>
    <x:row r="14" ht="15.75" customHeight="1">
      <x:c r="A14" s="29" t="s">
        <x:v>284</x:v>
      </x:c>
      <x:c r="B14" s="35">
        <x:v>0.15</x:v>
      </x:c>
      <x:c r="C14" s="35">
        <x:v>0.15</x:v>
      </x:c>
      <x:c r="D14" s="35">
        <x:v>0.15</x:v>
      </x:c>
      <x:c r="E14" s="31" t="s">
        <x:v>167</x:v>
      </x:c>
      <x:c r="F14" s="32" t="s">
        <x:v>285</x:v>
      </x:c>
      <x:c r="G14" s="33" t="s">
        <x:v>286</x:v>
      </x:c>
    </x:row>
    <x:row r="16" ht="15" customHeight="1">
      <x:c r="A16" s="15" t="s">
        <x:v>287</x:v>
      </x:c>
    </x:row>
    <x:row r="17" ht="15" customHeight="1">
      <x:c r="A17" s="12" t="s">
        <x:v>288</x:v>
      </x:c>
      <x:c r="B17" s="23" t="n">
        <x:f>'2_Định giá'!D17*B5*(1-'2_Định giá'!$B$27)</x:f>
        <x:v>153450</x:v>
      </x:c>
      <x:c r="C17" s="23" t="n">
        <x:f>'2_Định giá'!D17*C5*(1-'2_Định giá'!$B$27)</x:f>
        <x:v>139500</x:v>
      </x:c>
      <x:c r="D17" s="23" t="n">
        <x:f>'2_Định giá'!D17*D5*(1-'2_Định giá'!$B$27)</x:f>
        <x:v>111600</x:v>
      </x:c>
    </x:row>
    <x:row r="18" ht="15" customHeight="1">
      <x:c r="A18" s="12" t="s">
        <x:v>289</x:v>
      </x:c>
      <x:c r="B18" s="23" t="n">
        <x:f>'2_Định giá'!E17*B6</x:f>
        <x:v>13229.693856</x:v>
      </x:c>
      <x:c r="C18" s="23" t="n">
        <x:f>'2_Định giá'!E17*C6</x:f>
        <x:v>14699.65984</x:v>
      </x:c>
      <x:c r="D18" s="23" t="n">
        <x:f>'2_Định giá'!E17*D6</x:f>
        <x:v>17639.591808</x:v>
      </x:c>
    </x:row>
    <x:row r="19" ht="15" customHeight="1">
      <x:c r="A19" s="3" t="s">
        <x:v>290</x:v>
      </x:c>
    </x:row>
    <x:row r="20" ht="15" customHeight="1">
      <x:c r="A20" s="15" t="s">
        <x:v>291</x:v>
      </x:c>
    </x:row>
    <x:row r="21" ht="15" customHeight="1">
      <x:c r="A21" s="1" t="s">
        <x:v>292</x:v>
      </x:c>
      <x:c r="B21" s="16" t="str">
        <x:f>IF(C9=0,"Chưa điền",IF(D9&gt;=1.5*C9,"Đạt","Chưa đủ sốc"))</x:f>
        <x:v>Đạt</x:v>
      </x:c>
    </x:row>
    <x:row r="22" ht="15" customHeight="1">
      <x:c r="A22" s="1" t="s">
        <x:v>293</x:v>
      </x:c>
      <x:c r="B22" s="16" t="str">
        <x:f>IF(C10=0,"Chưa điền",IF(D10&gt;=1.5*C10,"Đạt","Chưa đủ sốc"))</x:f>
        <x:v>Đạt</x:v>
      </x:c>
    </x:row>
  </x:sheetData>
  <x:pageMargins left="0.7" right="0.7" top="0.75" bottom="0.75" header="0.3" footer="0.3"/>
</x:worksheet>
</file>

<file path=xl/worksheets/sheet7.xml><?xml version="1.0" encoding="utf-8"?>
<x:worksheet xmlns:x="http://schemas.openxmlformats.org/spreadsheetml/2006/main">
  <x:sheetFormatPr defaultColWidth="8.675926208496094" defaultRowHeight="14.399999618530273"/>
  <x:cols>
    <x:col min="1" max="1" width="40" style="1" customWidth="1"/>
    <x:col min="2" max="4" width="18" style="1" customWidth="1"/>
    <x:col min="5" max="5" width="20" style="1" customWidth="1"/>
  </x:cols>
  <x:sheetData>
    <x:row r="1" ht="17.25" customHeight="1">
      <x:c r="A1" s="10" t="s">
        <x:v>294</x:v>
      </x:c>
    </x:row>
    <x:row r="2" ht="15" customHeight="1">
      <x:c r="A2" s="11" t="s">
        <x:v>295</x:v>
      </x:c>
    </x:row>
    <x:row r="4" ht="15" customHeight="1">
      <x:c r="A4" s="4" t="s">
        <x:v>296</x:v>
      </x:c>
      <x:c r="B4" s="4" t="s">
        <x:v>258</x:v>
      </x:c>
      <x:c r="C4" s="4" t="s">
        <x:v>259</x:v>
      </x:c>
      <x:c r="D4" s="4" t="s">
        <x:v>260</x:v>
      </x:c>
      <x:c r="E4" s="4" t="s">
        <x:v>297</x:v>
      </x:c>
    </x:row>
    <x:row r="5" ht="15" customHeight="1">
      <x:c r="A5" s="12" t="s">
        <x:v>288</x:v>
      </x:c>
      <x:c r="B5" s="23" t="n">
        <x:f>'3_Giả định'!B17</x:f>
        <x:v>153450</x:v>
      </x:c>
      <x:c r="C5" s="23" t="n">
        <x:f>'3_Giả định'!C17</x:f>
        <x:v>139500</x:v>
      </x:c>
      <x:c r="D5" s="23" t="n">
        <x:f>'3_Giả định'!D17</x:f>
        <x:v>111600</x:v>
      </x:c>
    </x:row>
    <x:row r="6" ht="15" customHeight="1">
      <x:c r="A6" s="12" t="s">
        <x:v>298</x:v>
      </x:c>
      <x:c r="B6" s="23" t="n">
        <x:f>'3_Giả định'!B17-'3_Giả định'!B18</x:f>
        <x:v>140220.306144</x:v>
      </x:c>
      <x:c r="C6" s="23" t="n">
        <x:f>'3_Giả định'!C17-'3_Giả định'!C18</x:f>
        <x:v>124800.34015999999</x:v>
      </x:c>
      <x:c r="D6" s="23" t="n">
        <x:f>'3_Giả định'!D17-'3_Giả định'!D18</x:f>
        <x:v>93960.408192</x:v>
      </x:c>
    </x:row>
    <x:row r="7" ht="15" customHeight="1">
      <x:c r="A7" s="12" t="s">
        <x:v>87</x:v>
      </x:c>
      <x:c r="B7" s="19" t="n">
        <x:f>IFERROR(B6/B5,0)</x:f>
        <x:v>0.9137849862756598</x:v>
      </x:c>
      <x:c r="C7" s="19" t="n">
        <x:f>IFERROR(C6/C5,0)</x:f>
        <x:v>0.8946260943369175</x:v>
      </x:c>
      <x:c r="D7" s="19" t="n">
        <x:f>IFERROR(D6/D5,0)</x:f>
        <x:v>0.8419391415053764</x:v>
      </x:c>
      <x:c r="E7" s="1" t="s">
        <x:v>299</x:v>
      </x:c>
    </x:row>
    <x:row r="8" ht="15" customHeight="1">
      <x:c r="A8" s="12" t="s">
        <x:v>300</x:v>
      </x:c>
      <x:c r="B8" s="21" t="n">
        <x:f>IFERROR(1/'3_Giả định'!B9,0)</x:f>
        <x:v>11.11111111111111</x:v>
      </x:c>
      <x:c r="C8" s="21" t="n">
        <x:f>IFERROR(1/'3_Giả định'!C9,0)</x:f>
        <x:v>6.666666666666667</x:v>
      </x:c>
      <x:c r="D8" s="21" t="n">
        <x:f>IFERROR(1/'3_Giả định'!D9,0)</x:f>
        <x:v>4.166666666666667</x:v>
      </x:c>
    </x:row>
    <x:row r="9" ht="15" customHeight="1">
      <x:c r="A9" s="12" t="s">
        <x:v>301</x:v>
      </x:c>
      <x:c r="B9" s="23" t="n">
        <x:f>B6*B8</x:f>
        <x:v>1558003.4016</x:v>
      </x:c>
      <x:c r="C9" s="23" t="n">
        <x:f>C6*C8</x:f>
        <x:v>832002.2677333333</x:v>
      </x:c>
      <x:c r="D9" s="23" t="n">
        <x:f>D6*D8</x:f>
        <x:v>391501.70080000005</x:v>
      </x:c>
    </x:row>
    <x:row r="10" ht="15" customHeight="1">
      <x:c r="A10" s="12" t="s">
        <x:v>302</x:v>
      </x:c>
      <x:c r="B10" s="23" t="n">
        <x:f>'3_Giả định'!B10</x:f>
        <x:v>560000</x:v>
      </x:c>
      <x:c r="C10" s="23" t="n">
        <x:f>'3_Giả định'!C10</x:f>
        <x:v>700000</x:v>
      </x:c>
      <x:c r="D10" s="23" t="n">
        <x:f>'3_Giả định'!D10</x:f>
        <x:v>1050000</x:v>
      </x:c>
    </x:row>
    <x:row r="11" ht="15" customHeight="1">
      <x:c r="A11" s="12" t="s">
        <x:v>303</x:v>
      </x:c>
      <x:c r="B11" s="71" t="n">
        <x:f>IFERROR(B9/B10,0)</x:f>
        <x:v>2.7821489314285714</x:v>
      </x:c>
      <x:c r="C11" s="71" t="n">
        <x:f>IFERROR(C9/C10,0)</x:f>
        <x:v>1.188574668190476</x:v>
      </x:c>
      <x:c r="D11" s="71" t="n">
        <x:f>IFERROR(D9/D10,0)</x:f>
        <x:v>0.37285876266666673</x:v>
      </x:c>
      <x:c r="E11" s="13" t="s">
        <x:v>304</x:v>
      </x:c>
    </x:row>
    <x:row r="12" ht="15" customHeight="1">
      <x:c r="A12" s="12" t="s">
        <x:v>305</x:v>
      </x:c>
      <x:c r="B12" s="21" t="n">
        <x:f>IFERROR(B10/B6,0)</x:f>
        <x:v>3.9937154282412206</x:v>
      </x:c>
      <x:c r="C12" s="21" t="n">
        <x:f>IFERROR(C10/C6,0)</x:f>
        <x:v>5.608959070965405</x:v>
      </x:c>
      <x:c r="D12" s="21" t="n">
        <x:f>IFERROR(D10/D6,0)</x:f>
        <x:v>11.174919524129944</x:v>
      </x:c>
      <x:c r="E12" s="1" t="s">
        <x:v>306</x:v>
      </x:c>
    </x:row>
    <x:row r="13" ht="15" customHeight="1">
      <x:c r="A13" s="12" t="s">
        <x:v>307</x:v>
      </x:c>
      <x:c r="B13" s="39" t="str">
        <x:f>IF(B5&lt;=0,"Chưa điền trang 2–3",IF(B6&lt;=0,"Lỗ trên từng khách",IF(AND(B11&gt;3,B12&lt;12,B7&gt;=0.6),"Khỏe",IF(B11&gt;=1,"Cần cải thiện","Đốt tiền"))))</x:f>
        <x:v>Cần cải thiện</x:v>
      </x:c>
      <x:c r="C13" s="39" t="str">
        <x:f>IF(C5&lt;=0,"Chưa điền trang 2–3",IF(C6&lt;=0,"Lỗ trên từng khách",IF(AND(C11&gt;3,C12&lt;12,C7&gt;=0.6),"Khỏe",IF(C11&gt;=1,"Cần cải thiện","Đốt tiền"))))</x:f>
        <x:v>Cần cải thiện</x:v>
      </x:c>
      <x:c r="D13" s="39" t="str">
        <x:f>IF(D5&lt;=0,"Chưa điền trang 2–3",IF(D6&lt;=0,"Lỗ trên từng khách",IF(AND(D11&gt;3,D12&lt;12,D7&gt;=0.6),"Khỏe",IF(D11&gt;=1,"Cần cải thiện","Đốt tiền"))))</x:f>
        <x:v>Đốt tiền</x:v>
      </x:c>
    </x:row>
  </x:sheetData>
  <x:pageMargins left="0.7" right="0.7" top="0.75" bottom="0.75" header="0.3" footer="0.3"/>
</x:worksheet>
</file>

<file path=xl/worksheets/sheet8.xml><?xml version="1.0" encoding="utf-8"?>
<x:worksheet xmlns:x="http://schemas.openxmlformats.org/spreadsheetml/2006/main">
  <x:sheetViews>
    <x:sheetView workbookViewId="0">
      <x:pane xSplit="1" ySplit="4" topLeftCell="B5" activePane="bottomRight" state="frozen"/>
    </x:sheetView>
  </x:sheetViews>
  <x:sheetFormatPr defaultColWidth="8.675926208496094" defaultRowHeight="14.399999618530273"/>
  <x:cols>
    <x:col min="1" max="1" width="38" style="1" customWidth="1"/>
    <x:col min="2" max="26" width="18" style="1" customWidth="1"/>
  </x:cols>
  <x:sheetData>
    <x:row r="1" ht="17.25" customHeight="1">
      <x:c r="A1" s="10" t="s">
        <x:v>308</x:v>
      </x:c>
    </x:row>
    <x:row r="2" ht="15" customHeight="1">
      <x:c r="A2" s="11" t="s">
        <x:v>309</x:v>
      </x:c>
    </x:row>
    <x:row r="4" ht="15" customHeight="1">
      <x:c r="A4" s="4" t="s">
        <x:v>310</x:v>
      </x:c>
      <x:c r="B4" s="4" t="s">
        <x:v>311</x:v>
      </x:c>
      <x:c r="C4" s="4" t="s">
        <x:v>312</x:v>
      </x:c>
      <x:c r="D4" s="4" t="s">
        <x:v>313</x:v>
      </x:c>
      <x:c r="E4" s="4" t="s">
        <x:v>314</x:v>
      </x:c>
      <x:c r="F4" s="4" t="s">
        <x:v>315</x:v>
      </x:c>
      <x:c r="G4" s="4" t="s">
        <x:v>316</x:v>
      </x:c>
      <x:c r="H4" s="4" t="s">
        <x:v>317</x:v>
      </x:c>
      <x:c r="I4" s="4" t="s">
        <x:v>318</x:v>
      </x:c>
      <x:c r="J4" s="4" t="s">
        <x:v>319</x:v>
      </x:c>
      <x:c r="K4" s="4" t="s">
        <x:v>320</x:v>
      </x:c>
      <x:c r="L4" s="4" t="s">
        <x:v>321</x:v>
      </x:c>
      <x:c r="M4" s="4" t="s">
        <x:v>322</x:v>
      </x:c>
      <x:c r="N4" s="4" t="s">
        <x:v>323</x:v>
      </x:c>
      <x:c r="O4" s="4" t="s">
        <x:v>324</x:v>
      </x:c>
      <x:c r="P4" s="4" t="s">
        <x:v>325</x:v>
      </x:c>
      <x:c r="Q4" s="4" t="s">
        <x:v>326</x:v>
      </x:c>
      <x:c r="R4" s="4" t="s">
        <x:v>327</x:v>
      </x:c>
      <x:c r="S4" s="4" t="s">
        <x:v>328</x:v>
      </x:c>
      <x:c r="T4" s="4" t="s">
        <x:v>329</x:v>
      </x:c>
      <x:c r="U4" s="4" t="s">
        <x:v>330</x:v>
      </x:c>
      <x:c r="V4" s="4" t="s">
        <x:v>331</x:v>
      </x:c>
      <x:c r="W4" s="4" t="s">
        <x:v>332</x:v>
      </x:c>
      <x:c r="X4" s="4" t="s">
        <x:v>333</x:v>
      </x:c>
      <x:c r="Y4" s="4" t="s">
        <x:v>334</x:v>
      </x:c>
      <x:c r="Z4" s="4" t="s">
        <x:v>335</x:v>
      </x:c>
    </x:row>
    <x:row r="5" ht="15" customHeight="1">
      <x:c r="A5" s="40" t="s">
        <x:v>336</x:v>
      </x:c>
    </x:row>
    <x:row r="6" ht="15" customHeight="1">
      <x:c r="A6" s="12" t="s">
        <x:v>337</x:v>
      </x:c>
      <x:c r="C6" s="41" t="n">
        <x:f>'3_Giả định'!$B$7*(1+'3_Giả định'!$B$8)^0</x:f>
        <x:v>390</x:v>
      </x:c>
      <x:c r="D6" s="41" t="n">
        <x:f>'3_Giả định'!$B$7*(1+'3_Giả định'!$B$8)^1</x:f>
        <x:v>439.9200000000001</x:v>
      </x:c>
      <x:c r="E6" s="41" t="n">
        <x:f>'3_Giả định'!$B$7*(1+'3_Giả định'!$B$8)^2</x:f>
        <x:v>496.22976000000006</x:v>
      </x:c>
      <x:c r="F6" s="41" t="n">
        <x:f>'3_Giả định'!$B$7*(1+'3_Giả định'!$B$8)^3</x:f>
        <x:v>559.7471692800001</x:v>
      </x:c>
      <x:c r="G6" s="41" t="n">
        <x:f>'3_Giả định'!$B$7*(1+'3_Giả định'!$B$8)^4</x:f>
        <x:v>631.3948069478402</x:v>
      </x:c>
      <x:c r="H6" s="41" t="n">
        <x:f>'3_Giả định'!$B$7*(1+'3_Giả định'!$B$8)^5</x:f>
        <x:v>712.2133422371637</x:v>
      </x:c>
      <x:c r="I6" s="41" t="n">
        <x:f>'3_Giả định'!$B$7*(1+'3_Giả định'!$B$8)^6</x:f>
        <x:v>803.3766500435208</x:v>
      </x:c>
      <x:c r="J6" s="41" t="n">
        <x:f>'3_Giả định'!$B$7*(1+'3_Giả định'!$B$8)^7</x:f>
        <x:v>906.2088612490916</x:v>
      </x:c>
      <x:c r="K6" s="41" t="n">
        <x:f>'3_Giả định'!$B$7*(1+'3_Giả định'!$B$8)^8</x:f>
        <x:v>1022.2035954889753</x:v>
      </x:c>
      <x:c r="L6" s="41" t="n">
        <x:f>'3_Giả định'!$B$7*(1+'3_Giả định'!$B$8)^9</x:f>
        <x:v>1153.0456557115642</x:v>
      </x:c>
      <x:c r="M6" s="41" t="n">
        <x:f>'3_Giả định'!$B$7*(1+'3_Giả định'!$B$8)^10</x:f>
        <x:v>1300.6354996426446</x:v>
      </x:c>
      <x:c r="N6" s="41" t="n">
        <x:f>'3_Giả định'!$B$7*(1+'3_Giả định'!$B$8)^11</x:f>
        <x:v>1467.1168435969032</x:v>
      </x:c>
      <x:c r="O6" s="41" t="n">
        <x:f>'3_Giả định'!$B$7*(1+'3_Giả định'!$B$8)^12</x:f>
        <x:v>1654.907799577307</x:v>
      </x:c>
      <x:c r="P6" s="41" t="n">
        <x:f>'3_Giả định'!$B$7*(1+'3_Giả định'!$B$8)^13</x:f>
        <x:v>1866.7359979232021</x:v>
      </x:c>
      <x:c r="Q6" s="41" t="n">
        <x:f>'3_Giả định'!$B$7*(1+'3_Giả định'!$B$8)^14</x:f>
        <x:v>2105.6782056573725</x:v>
      </x:c>
      <x:c r="R6" s="41" t="n">
        <x:f>'3_Giả định'!$B$7*(1+'3_Giả định'!$B$8)^15</x:f>
        <x:v>2375.205015981516</x:v>
      </x:c>
      <x:c r="S6" s="41" t="n">
        <x:f>'3_Giả định'!$B$7*(1+'3_Giả định'!$B$8)^16</x:f>
        <x:v>2679.2312580271505</x:v>
      </x:c>
      <x:c r="T6" s="41" t="n">
        <x:f>'3_Giả định'!$B$7*(1+'3_Giả định'!$B$8)^17</x:f>
        <x:v>3022.1728590546263</x:v>
      </x:c>
      <x:c r="U6" s="41" t="n">
        <x:f>'3_Giả định'!$B$7*(1+'3_Giả định'!$B$8)^18</x:f>
        <x:v>3409.010985013618</x:v>
      </x:c>
      <x:c r="V6" s="41" t="n">
        <x:f>'3_Giả định'!$B$7*(1+'3_Giả định'!$B$8)^19</x:f>
        <x:v>3845.3643910953624</x:v>
      </x:c>
      <x:c r="W6" s="41" t="n">
        <x:f>'3_Giả định'!$B$7*(1+'3_Giả định'!$B$8)^20</x:f>
        <x:v>4337.571033155568</x:v>
      </x:c>
      <x:c r="X6" s="41" t="n">
        <x:f>'3_Giả định'!$B$7*(1+'3_Giả định'!$B$8)^21</x:f>
        <x:v>4892.780125399482</x:v>
      </x:c>
      <x:c r="Y6" s="41" t="n">
        <x:f>'3_Giả định'!$B$7*(1+'3_Giả định'!$B$8)^22</x:f>
        <x:v>5519.055981450616</x:v>
      </x:c>
      <x:c r="Z6" s="41" t="n">
        <x:f>'3_Giả định'!$B$7*(1+'3_Giả định'!$B$8)^23</x:f>
        <x:v>6225.495147076295</x:v>
      </x:c>
    </x:row>
    <x:row r="7" ht="15" customHeight="1">
      <x:c r="A7" s="12" t="s">
        <x:v>338</x:v>
      </x:c>
      <x:c r="B7" s="1">
        <x:v>0</x:v>
      </x:c>
      <x:c r="C7" s="41" t="n">
        <x:f>B7*(1-'3_Giả định'!$B$9)+C6</x:f>
        <x:v>390</x:v>
      </x:c>
      <x:c r="D7" s="41" t="n">
        <x:f>C7*(1-'3_Giả định'!$B$9)+D6</x:f>
        <x:v>794.8200000000002</x:v>
      </x:c>
      <x:c r="E7" s="41" t="n">
        <x:f>D7*(1-'3_Giả định'!$B$9)+E6</x:f>
        <x:v>1219.5159600000002</x:v>
      </x:c>
      <x:c r="F7" s="41" t="n">
        <x:f>E7*(1-'3_Giả định'!$B$9)+F6</x:f>
        <x:v>1669.5066928800002</x:v>
      </x:c>
      <x:c r="G7" s="41" t="n">
        <x:f>F7*(1-'3_Giả định'!$B$9)+G6</x:f>
        <x:v>2150.64589746864</x:v>
      </x:c>
      <x:c r="H7" s="41" t="n">
        <x:f>G7*(1-'3_Giả định'!$B$9)+H6</x:f>
        <x:v>2669.3011089336264</x:v>
      </x:c>
      <x:c r="I7" s="41" t="n">
        <x:f>H7*(1-'3_Giả định'!$B$9)+I6</x:f>
        <x:v>3232.440659173121</x:v>
      </x:c>
      <x:c r="J7" s="41" t="n">
        <x:f>I7*(1-'3_Giả định'!$B$9)+J6</x:f>
        <x:v>3847.729861096632</x:v>
      </x:c>
      <x:c r="K7" s="41" t="n">
        <x:f>J7*(1-'3_Giả định'!$B$9)+K6</x:f>
        <x:v>4523.63776908691</x:v>
      </x:c>
      <x:c r="L7" s="41" t="n">
        <x:f>K7*(1-'3_Giả định'!$B$9)+L6</x:f>
        <x:v>5269.556025580652</x:v>
      </x:c>
      <x:c r="M7" s="41" t="n">
        <x:f>L7*(1-'3_Giả định'!$B$9)+M6</x:f>
        <x:v>6095.931482921038</x:v>
      </x:c>
      <x:c r="N7" s="41" t="n">
        <x:f>M7*(1-'3_Giả định'!$B$9)+N6</x:f>
        <x:v>7014.414493055047</x:v>
      </x:c>
      <x:c r="O7" s="41" t="n">
        <x:f>N7*(1-'3_Giả định'!$B$9)+O6</x:f>
        <x:v>8038.0249882574</x:v>
      </x:c>
      <x:c r="P7" s="41" t="n">
        <x:f>O7*(1-'3_Giả định'!$B$9)+P6</x:f>
        <x:v>9181.338737237436</x:v>
      </x:c>
      <x:c r="Q7" s="41" t="n">
        <x:f>P7*(1-'3_Giả định'!$B$9)+Q6</x:f>
        <x:v>10460.69645654344</x:v>
      </x:c>
      <x:c r="R7" s="41" t="n">
        <x:f>Q7*(1-'3_Giả định'!$B$9)+R6</x:f>
        <x:v>11894.438791436045</x:v>
      </x:c>
      <x:c r="S7" s="41" t="n">
        <x:f>R7*(1-'3_Giả định'!$B$9)+S6</x:f>
        <x:v>13503.170558233951</x:v>
      </x:c>
      <x:c r="T7" s="41" t="n">
        <x:f>S7*(1-'3_Giả định'!$B$9)+T6</x:f>
        <x:v>15310.058067047523</x:v>
      </x:c>
      <x:c r="U7" s="41" t="n">
        <x:f>T7*(1-'3_Giả định'!$B$9)+U6</x:f>
        <x:v>17341.163826026866</x:v>
      </x:c>
      <x:c r="V7" s="41" t="n">
        <x:f>U7*(1-'3_Giả định'!$B$9)+V6</x:f>
        <x:v>19625.82347277981</x:v>
      </x:c>
      <x:c r="W7" s="41" t="n">
        <x:f>V7*(1-'3_Giả định'!$B$9)+W6</x:f>
        <x:v>22197.0703933852</x:v>
      </x:c>
      <x:c r="X7" s="41" t="n">
        <x:f>W7*(1-'3_Giả định'!$B$9)+X6</x:f>
        <x:v>25092.114183380014</x:v>
      </x:c>
      <x:c r="Y7" s="41" t="n">
        <x:f>X7*(1-'3_Giả định'!$B$9)+Y6</x:f>
        <x:v>28352.879888326428</x:v>
      </x:c>
      <x:c r="Z7" s="41" t="n">
        <x:f>Y7*(1-'3_Giả định'!$B$9)+Z6</x:f>
        <x:v>32026.615845453343</x:v>
      </x:c>
    </x:row>
    <x:row r="8" ht="15" customHeight="1">
      <x:c r="A8" s="12" t="s">
        <x:v>77</x:v>
      </x:c>
      <x:c r="C8" s="42" t="n">
        <x:f>C7*'3_Giả định'!$B$17</x:f>
        <x:v>59845500</x:v>
      </x:c>
      <x:c r="D8" s="42" t="n">
        <x:f>D7*'3_Giả định'!$B$17</x:f>
        <x:v>121965129.00000003</x:v>
      </x:c>
      <x:c r="E8" s="42" t="n">
        <x:f>E7*'3_Giả định'!$B$17</x:f>
        <x:v>187134724.06200004</x:v>
      </x:c>
      <x:c r="F8" s="42" t="n">
        <x:f>F7*'3_Giả định'!$B$17</x:f>
        <x:v>256185802.02243602</x:v>
      </x:c>
      <x:c r="G8" s="42" t="n">
        <x:f>G7*'3_Giả định'!$B$17</x:f>
        <x:v>330016612.96656287</x:v>
      </x:c>
      <x:c r="H8" s="42" t="n">
        <x:f>H7*'3_Giả định'!$B$17</x:f>
        <x:v>409604255.165865</x:v>
      </x:c>
      <x:c r="I8" s="42" t="n">
        <x:f>I7*'3_Giả định'!$B$17</x:f>
        <x:v>496018019.1501154</x:v>
      </x:c>
      <x:c r="J8" s="42" t="n">
        <x:f>J7*'3_Giả định'!$B$17</x:f>
        <x:v>590434147.1852782</x:v>
      </x:c>
      <x:c r="K8" s="42" t="n">
        <x:f>K7*'3_Giả định'!$B$17</x:f>
        <x:v>694152215.6663864</x:v>
      </x:c>
      <x:c r="L8" s="42" t="n">
        <x:f>L7*'3_Giả định'!$B$17</x:f>
        <x:v>808613372.1253511</x:v>
      </x:c>
      <x:c r="M8" s="42" t="n">
        <x:f>M7*'3_Giả định'!$B$17</x:f>
        <x:v>935420686.0542333</x:v>
      </x:c>
      <x:c r="N8" s="42" t="n">
        <x:f>N7*'3_Giả định'!$B$17</x:f>
        <x:v>1076361903.959297</x:v>
      </x:c>
      <x:c r="O8" s="42" t="n">
        <x:f>O7*'3_Giả định'!$B$17</x:f>
        <x:v>1233434934.448098</x:v>
      </x:c>
      <x:c r="P8" s="42" t="n">
        <x:f>P7*'3_Giả định'!$B$17</x:f>
        <x:v>1408876429.2290845</x:v>
      </x:c>
      <x:c r="Q8" s="42" t="n">
        <x:f>Q7*'3_Giả định'!$B$17</x:f>
        <x:v>1605193871.2565908</x:v>
      </x:c>
      <x:c r="R8" s="42" t="n">
        <x:f>R7*'3_Giả định'!$B$17</x:f>
        <x:v>1825201632.545861</x:v>
      </x:c>
      <x:c r="S8" s="42" t="n">
        <x:f>S7*'3_Giả định'!$B$17</x:f>
        <x:v>2072061522.1609998</x:v>
      </x:c>
      <x:c r="T8" s="42" t="n">
        <x:f>T7*'3_Giả định'!$B$17</x:f>
        <x:v>2349328410.3884425</x:v>
      </x:c>
      <x:c r="U8" s="42" t="n">
        <x:f>U7*'3_Giả định'!$B$17</x:f>
        <x:v>2661001589.1038227</x:v>
      </x:c>
      <x:c r="V8" s="42" t="n">
        <x:f>V7*'3_Giả định'!$B$17</x:f>
        <x:v>3011582611.898062</x:v>
      </x:c>
      <x:c r="W8" s="42" t="n">
        <x:f>W7*'3_Giả định'!$B$17</x:f>
        <x:v>3406140451.864959</x:v>
      </x:c>
      <x:c r="X8" s="42" t="n">
        <x:f>X7*'3_Giả định'!$B$17</x:f>
        <x:v>3850384921.439663</x:v>
      </x:c>
      <x:c r="Y8" s="42" t="n">
        <x:f>Y7*'3_Giả định'!$B$17</x:f>
        <x:v>4350749418.86369</x:v>
      </x:c>
      <x:c r="Z8" s="42" t="n">
        <x:f>Z7*'3_Giả định'!$B$17</x:f>
        <x:v>4914484201.484816</x:v>
      </x:c>
    </x:row>
    <x:row r="9" ht="15" customHeight="1">
      <x:c r="A9" s="12" t="s">
        <x:v>339</x:v>
      </x:c>
      <x:c r="C9" s="42" t="n">
        <x:f>C7*'3_Giả định'!$B$18</x:f>
        <x:v>5159580.60384</x:v>
      </x:c>
      <x:c r="D9" s="42" t="n">
        <x:f>D7*'3_Giả định'!$B$18</x:f>
        <x:v>10515225.270625923</x:v>
      </x:c>
      <x:c r="E9" s="42" t="n">
        <x:f>E7*'3_Giả định'!$B$18</x:f>
        <x:v>16133822.803305944</x:v>
      </x:c>
      <x:c r="F9" s="42" t="n">
        <x:f>F7*'3_Giả định'!$B$18</x:f>
        <x:v>22087062.437345415</x:v>
      </x:c>
      <x:c r="G9" s="42" t="n">
        <x:f>G7*'3_Giả định'!$B$18</x:f>
        <x:v>28452386.816172477</x:v>
      </x:c>
      <x:c r="H9" s="42" t="n">
        <x:f>H7*'3_Giả định'!$B$18</x:f>
        <x:v>35314036.48067319</x:v>
      </x:c>
      <x:c r="I9" s="42" t="n">
        <x:f>I7*'3_Giả định'!$B$18</x:f>
        <x:v>42764200.328547224</x:v>
      </x:c>
      <x:c r="J9" s="42" t="n">
        <x:f>J7*'3_Giả định'!$B$18</x:f>
        <x:v>50904288.102897845</x:v>
      </x:c>
      <x:c r="K9" s="42" t="n">
        <x:f>K7*'3_Giả định'!$B$18</x:f>
        <x:v>59846342.80045865</x:v>
      </x:c>
      <x:c r="L9" s="42" t="n">
        <x:f>L7*'3_Giả định'!$B$18</x:f>
        <x:v>69714612.97547214</x:v>
      </x:c>
      <x:c r="M9" s="42" t="n">
        <x:f>M7*'3_Giả định'!$B$18</x:f>
        <x:v>80647307.28619742</x:v>
      </x:c>
      <x:c r="N9" s="42" t="n">
        <x:f>N7*'3_Giả định'!$B$18</x:f>
        <x:v>92798556.32220772</x:v>
      </x:c>
      <x:c r="O9" s="42" t="n">
        <x:f>O7*'3_Giả định'!$B$18</x:f>
        <x:v>106340609.80152339</x:v>
      </x:c>
      <x:c r="P9" s="42" t="n">
        <x:f>P7*'3_Giả định'!$B$18</x:f>
        <x:v>121466300.68188491</x:v>
      </x:c>
      <x:c r="Q9" s="42" t="n">
        <x:f>Q7*'3_Giả định'!$B$18</x:f>
        <x:v>138391811.6406137</x:v>
      </x:c>
      <x:c r="R9" s="42" t="n">
        <x:f>R7*'3_Giả định'!$B$18</x:f>
        <x:v>157359783.7996295</x:v>
      </x:c>
      <x:c r="S9" s="42" t="n">
        <x:f>S7*'3_Giả định'!$B$18</x:f>
        <x:v>178642812.5707878</x:v>
      </x:c>
      <x:c r="T9" s="42" t="n">
        <x:f>T7*'3_Giả định'!$B$18</x:f>
        <x:v>202547381.14462185</x:v>
      </x:c>
      <x:c r="U9" s="42" t="n">
        <x:f>U7*'3_Giả định'!$B$18</x:f>
        <x:v>229418288.52507707</x:v>
      </x:c>
      <x:c r="V9" s="42" t="n">
        <x:f>V7*'3_Giả định'!$B$18</x:f>
        <x:v>259643636.21677566</x:v>
      </x:c>
      <x:c r="W9" s="42" t="n">
        <x:f>W7*'3_Giả định'!$B$18</x:f>
        <x:v>293660445.80456764</x:v>
      </x:c>
      <x:c r="X9" s="42" t="n">
        <x:f>X7*'3_Giả định'!$B$18</x:f>
        <x:v>331960988.84591305</x:v>
      </x:c>
      <x:c r="Y9" s="42" t="n">
        <x:f>Y7*'3_Giả định'!$B$18</x:f>
        <x:v>375099920.8584981</x:v>
      </x:c>
      <x:c r="Z9" s="42" t="n">
        <x:f>Z7*'3_Giả định'!$B$18</x:f>
        <x:v>423702322.87906635</x:v>
      </x:c>
    </x:row>
    <x:row r="10" ht="15" customHeight="1">
      <x:c r="A10" s="12" t="s">
        <x:v>79</x:v>
      </x:c>
      <x:c r="C10" s="42" t="n">
        <x:f t="shared" ref="C10:Z10" si="0">C8-C9</x:f>
        <x:v>54685919.39616</x:v>
      </x:c>
      <x:c r="D10" s="42">
        <x:f t="shared" si="0"/>
        <x:v>0</x:v>
      </x:c>
      <x:c r="E10" s="42">
        <x:f t="shared" si="0"/>
        <x:v>0</x:v>
      </x:c>
      <x:c r="F10" s="42">
        <x:f t="shared" si="0"/>
        <x:v>0</x:v>
      </x:c>
      <x:c r="G10" s="42">
        <x:f t="shared" si="0"/>
        <x:v>0</x:v>
      </x:c>
      <x:c r="H10" s="42">
        <x:f t="shared" si="0"/>
        <x:v>0</x:v>
      </x:c>
      <x:c r="I10" s="42">
        <x:f t="shared" si="0"/>
        <x:v>0</x:v>
      </x:c>
      <x:c r="J10" s="42">
        <x:f t="shared" si="0"/>
        <x:v>0</x:v>
      </x:c>
      <x:c r="K10" s="42">
        <x:f t="shared" si="0"/>
        <x:v>0</x:v>
      </x:c>
      <x:c r="L10" s="42">
        <x:f t="shared" si="0"/>
        <x:v>0</x:v>
      </x:c>
      <x:c r="M10" s="42">
        <x:f t="shared" si="0"/>
        <x:v>0</x:v>
      </x:c>
      <x:c r="N10" s="42">
        <x:f t="shared" si="0"/>
        <x:v>0</x:v>
      </x:c>
      <x:c r="O10" s="42">
        <x:f t="shared" si="0"/>
        <x:v>0</x:v>
      </x:c>
      <x:c r="P10" s="42">
        <x:f t="shared" si="0"/>
        <x:v>0</x:v>
      </x:c>
      <x:c r="Q10" s="42">
        <x:f t="shared" si="0"/>
        <x:v>0</x:v>
      </x:c>
      <x:c r="R10" s="42">
        <x:f t="shared" si="0"/>
        <x:v>0</x:v>
      </x:c>
      <x:c r="S10" s="42">
        <x:f t="shared" si="0"/>
        <x:v>0</x:v>
      </x:c>
      <x:c r="T10" s="42">
        <x:f t="shared" si="0"/>
        <x:v>0</x:v>
      </x:c>
      <x:c r="U10" s="42">
        <x:f t="shared" si="0"/>
        <x:v>0</x:v>
      </x:c>
      <x:c r="V10" s="42">
        <x:f t="shared" si="0"/>
        <x:v>0</x:v>
      </x:c>
      <x:c r="W10" s="42">
        <x:f t="shared" si="0"/>
        <x:v>0</x:v>
      </x:c>
      <x:c r="X10" s="42">
        <x:f t="shared" si="0"/>
        <x:v>0</x:v>
      </x:c>
      <x:c r="Y10" s="42">
        <x:f t="shared" si="0"/>
        <x:v>0</x:v>
      </x:c>
      <x:c r="Z10" s="42">
        <x:f t="shared" si="0"/>
        <x:v>0</x:v>
      </x:c>
    </x:row>
    <x:row r="11" ht="15" customHeight="1">
      <x:c r="A11" s="12" t="s">
        <x:v>340</x:v>
      </x:c>
      <x:c r="C11" s="42" t="n">
        <x:f>C6*'3_Giả định'!$B$10</x:f>
        <x:v>218400000</x:v>
      </x:c>
      <x:c r="D11" s="42" t="n">
        <x:f>D6*'3_Giả định'!$B$10</x:f>
        <x:v>246355200.00000003</x:v>
      </x:c>
      <x:c r="E11" s="42" t="n">
        <x:f>E6*'3_Giả định'!$B$10</x:f>
        <x:v>277888665.6</x:v>
      </x:c>
      <x:c r="F11" s="42" t="n">
        <x:f>F6*'3_Giả định'!$B$10</x:f>
        <x:v>313458414.7968001</x:v>
      </x:c>
      <x:c r="G11" s="42" t="n">
        <x:f>G6*'3_Giả định'!$B$10</x:f>
        <x:v>353581091.89079046</x:v>
      </x:c>
      <x:c r="H11" s="42" t="n">
        <x:f>H6*'3_Giả định'!$B$10</x:f>
        <x:v>398839471.6528117</x:v>
      </x:c>
      <x:c r="I11" s="42" t="n">
        <x:f>I6*'3_Giả định'!$B$10</x:f>
        <x:v>449890924.0243717</x:v>
      </x:c>
      <x:c r="J11" s="42" t="n">
        <x:f>J6*'3_Giả định'!$B$10</x:f>
        <x:v>507476962.2994913</x:v>
      </x:c>
      <x:c r="K11" s="42" t="n">
        <x:f>K6*'3_Giả định'!$B$10</x:f>
        <x:v>572434013.4738262</x:v>
      </x:c>
      <x:c r="L11" s="42" t="n">
        <x:f>L6*'3_Giả định'!$B$10</x:f>
        <x:v>645705567.198476</x:v>
      </x:c>
      <x:c r="M11" s="42" t="n">
        <x:f>M6*'3_Giả định'!$B$10</x:f>
        <x:v>728355879.799881</x:v>
      </x:c>
      <x:c r="N11" s="42" t="n">
        <x:f>N6*'3_Giả định'!$B$10</x:f>
        <x:v>821585432.4142658</x:v>
      </x:c>
      <x:c r="O11" s="42" t="n">
        <x:f>O6*'3_Giả định'!$B$10</x:f>
        <x:v>926748367.763292</x:v>
      </x:c>
      <x:c r="P11" s="42" t="n">
        <x:f>P6*'3_Giả định'!$B$10</x:f>
        <x:v>1045372158.8369932</x:v>
      </x:c>
      <x:c r="Q11" s="42" t="n">
        <x:f>Q6*'3_Giả định'!$B$10</x:f>
        <x:v>1179179795.1681285</x:v>
      </x:c>
      <x:c r="R11" s="42" t="n">
        <x:f>R6*'3_Giả định'!$B$10</x:f>
        <x:v>1330114808.949649</x:v>
      </x:c>
      <x:c r="S11" s="42" t="n">
        <x:f>S6*'3_Giả định'!$B$10</x:f>
        <x:v>1500369504.4952042</x:v>
      </x:c>
      <x:c r="T11" s="42" t="n">
        <x:f>T6*'3_Giả định'!$B$10</x:f>
        <x:v>1692416801.0705907</x:v>
      </x:c>
      <x:c r="U11" s="42" t="n">
        <x:f>U6*'3_Giả định'!$B$10</x:f>
        <x:v>1909046151.6076262</x:v>
      </x:c>
      <x:c r="V11" s="42" t="n">
        <x:f>V6*'3_Giả định'!$B$10</x:f>
        <x:v>2153404059.013403</x:v>
      </x:c>
      <x:c r="W11" s="42" t="n">
        <x:f>W6*'3_Giả định'!$B$10</x:f>
        <x:v>2429039778.567118</x:v>
      </x:c>
      <x:c r="X11" s="42" t="n">
        <x:f>X6*'3_Giả định'!$B$10</x:f>
        <x:v>2739956870.22371</x:v>
      </x:c>
      <x:c r="Y11" s="42" t="n">
        <x:f>Y6*'3_Giả định'!$B$10</x:f>
        <x:v>3090671349.6123447</x:v>
      </x:c>
      <x:c r="Z11" s="42" t="n">
        <x:f>Z6*'3_Giả định'!$B$10</x:f>
        <x:v>3486277282.3627253</x:v>
      </x:c>
    </x:row>
    <x:row r="12" ht="15" customHeight="1">
      <x:c r="A12" s="12" t="s">
        <x:v>341</x:v>
      </x:c>
      <x:c r="C12" s="42" t="n">
        <x:f>'3_Giả định'!$B$11</x:f>
        <x:v>120000000</x:v>
      </x:c>
      <x:c r="D12" s="42" t="n">
        <x:f>'3_Giả định'!$B$11</x:f>
        <x:v>120000000</x:v>
      </x:c>
      <x:c r="E12" s="42" t="n">
        <x:f>'3_Giả định'!$B$11</x:f>
        <x:v>120000000</x:v>
      </x:c>
      <x:c r="F12" s="42" t="n">
        <x:f>'3_Giả định'!$B$11</x:f>
        <x:v>120000000</x:v>
      </x:c>
      <x:c r="G12" s="42" t="n">
        <x:f>'3_Giả định'!$B$11</x:f>
        <x:v>120000000</x:v>
      </x:c>
      <x:c r="H12" s="42" t="n">
        <x:f>'3_Giả định'!$B$11</x:f>
        <x:v>120000000</x:v>
      </x:c>
      <x:c r="I12" s="42" t="n">
        <x:f>'3_Giả định'!$B$11</x:f>
        <x:v>120000000</x:v>
      </x:c>
      <x:c r="J12" s="42" t="n">
        <x:f>'3_Giả định'!$B$11</x:f>
        <x:v>120000000</x:v>
      </x:c>
      <x:c r="K12" s="42" t="n">
        <x:f>'3_Giả định'!$B$11</x:f>
        <x:v>120000000</x:v>
      </x:c>
      <x:c r="L12" s="42" t="n">
        <x:f>'3_Giả định'!$B$11</x:f>
        <x:v>120000000</x:v>
      </x:c>
      <x:c r="M12" s="42" t="n">
        <x:f>'3_Giả định'!$B$11</x:f>
        <x:v>120000000</x:v>
      </x:c>
      <x:c r="N12" s="42" t="n">
        <x:f>'3_Giả định'!$B$11</x:f>
        <x:v>120000000</x:v>
      </x:c>
      <x:c r="O12" s="42" t="n">
        <x:f>'3_Giả định'!$B$11</x:f>
        <x:v>120000000</x:v>
      </x:c>
      <x:c r="P12" s="42" t="n">
        <x:f>'3_Giả định'!$B$11</x:f>
        <x:v>120000000</x:v>
      </x:c>
      <x:c r="Q12" s="42" t="n">
        <x:f>'3_Giả định'!$B$11</x:f>
        <x:v>120000000</x:v>
      </x:c>
      <x:c r="R12" s="42" t="n">
        <x:f>'3_Giả định'!$B$11</x:f>
        <x:v>120000000</x:v>
      </x:c>
      <x:c r="S12" s="42" t="n">
        <x:f>'3_Giả định'!$B$11</x:f>
        <x:v>120000000</x:v>
      </x:c>
      <x:c r="T12" s="42" t="n">
        <x:f>'3_Giả định'!$B$11</x:f>
        <x:v>120000000</x:v>
      </x:c>
      <x:c r="U12" s="42" t="n">
        <x:f>'3_Giả định'!$B$11</x:f>
        <x:v>120000000</x:v>
      </x:c>
      <x:c r="V12" s="42" t="n">
        <x:f>'3_Giả định'!$B$11</x:f>
        <x:v>120000000</x:v>
      </x:c>
      <x:c r="W12" s="42" t="n">
        <x:f>'3_Giả định'!$B$11</x:f>
        <x:v>120000000</x:v>
      </x:c>
      <x:c r="X12" s="42" t="n">
        <x:f>'3_Giả định'!$B$11</x:f>
        <x:v>120000000</x:v>
      </x:c>
      <x:c r="Y12" s="42" t="n">
        <x:f>'3_Giả định'!$B$11</x:f>
        <x:v>120000000</x:v>
      </x:c>
      <x:c r="Z12" s="42" t="n">
        <x:f>'3_Giả định'!$B$11</x:f>
        <x:v>120000000</x:v>
      </x:c>
    </x:row>
    <x:row r="13" ht="15" customHeight="1">
      <x:c r="A13" s="12" t="s">
        <x:v>342</x:v>
      </x:c>
      <x:c r="B13" s="42" t="n">
        <x:f>-'3_Giả định'!$B$12</x:f>
        <x:v>-400000000</x:v>
      </x:c>
      <x:c r="C13" s="42" t="n">
        <x:f t="shared" ref="C13:Z13" si="1">C10-C11-C12</x:f>
        <x:v>-283714080.60384</x:v>
      </x:c>
      <x:c r="D13" s="42">
        <x:f t="shared" si="1"/>
        <x:v>0</x:v>
      </x:c>
      <x:c r="E13" s="42">
        <x:f t="shared" si="1"/>
        <x:v>0</x:v>
      </x:c>
      <x:c r="F13" s="42">
        <x:f t="shared" si="1"/>
        <x:v>0</x:v>
      </x:c>
      <x:c r="G13" s="42">
        <x:f t="shared" si="1"/>
        <x:v>0</x:v>
      </x:c>
      <x:c r="H13" s="42">
        <x:f t="shared" si="1"/>
        <x:v>0</x:v>
      </x:c>
      <x:c r="I13" s="42">
        <x:f t="shared" si="1"/>
        <x:v>0</x:v>
      </x:c>
      <x:c r="J13" s="42">
        <x:f t="shared" si="1"/>
        <x:v>0</x:v>
      </x:c>
      <x:c r="K13" s="42">
        <x:f t="shared" si="1"/>
        <x:v>0</x:v>
      </x:c>
      <x:c r="L13" s="42">
        <x:f t="shared" si="1"/>
        <x:v>0</x:v>
      </x:c>
      <x:c r="M13" s="42">
        <x:f t="shared" si="1"/>
        <x:v>0</x:v>
      </x:c>
      <x:c r="N13" s="42">
        <x:f t="shared" si="1"/>
        <x:v>0</x:v>
      </x:c>
      <x:c r="O13" s="42">
        <x:f t="shared" si="1"/>
        <x:v>0</x:v>
      </x:c>
      <x:c r="P13" s="42">
        <x:f t="shared" si="1"/>
        <x:v>0</x:v>
      </x:c>
      <x:c r="Q13" s="42">
        <x:f t="shared" si="1"/>
        <x:v>0</x:v>
      </x:c>
      <x:c r="R13" s="42">
        <x:f t="shared" si="1"/>
        <x:v>0</x:v>
      </x:c>
      <x:c r="S13" s="42">
        <x:f t="shared" si="1"/>
        <x:v>0</x:v>
      </x:c>
      <x:c r="T13" s="42">
        <x:f t="shared" si="1"/>
        <x:v>0</x:v>
      </x:c>
      <x:c r="U13" s="42">
        <x:f t="shared" si="1"/>
        <x:v>0</x:v>
      </x:c>
      <x:c r="V13" s="42">
        <x:f t="shared" si="1"/>
        <x:v>0</x:v>
      </x:c>
      <x:c r="W13" s="42">
        <x:f t="shared" si="1"/>
        <x:v>0</x:v>
      </x:c>
      <x:c r="X13" s="42">
        <x:f t="shared" si="1"/>
        <x:v>0</x:v>
      </x:c>
      <x:c r="Y13" s="42">
        <x:f t="shared" si="1"/>
        <x:v>0</x:v>
      </x:c>
      <x:c r="Z13" s="42">
        <x:f t="shared" si="1"/>
        <x:v>0</x:v>
      </x:c>
    </x:row>
    <x:row r="14" ht="15" customHeight="1">
      <x:c r="A14" s="12" t="s">
        <x:v>343</x:v>
      </x:c>
      <x:c r="B14" s="42" t="n">
        <x:f>'3_Giả định'!$B$13+B13</x:f>
        <x:v>1100000000</x:v>
      </x:c>
      <x:c r="C14" s="42" t="n">
        <x:f t="shared" ref="C14:Z14" si="2">B14+C13</x:f>
        <x:v>816285919.39616</x:v>
      </x:c>
      <x:c r="D14" s="42">
        <x:f t="shared" si="2"/>
        <x:v>0</x:v>
      </x:c>
      <x:c r="E14" s="42">
        <x:f t="shared" si="2"/>
        <x:v>0</x:v>
      </x:c>
      <x:c r="F14" s="42">
        <x:f t="shared" si="2"/>
        <x:v>0</x:v>
      </x:c>
      <x:c r="G14" s="42">
        <x:f t="shared" si="2"/>
        <x:v>0</x:v>
      </x:c>
      <x:c r="H14" s="42">
        <x:f t="shared" si="2"/>
        <x:v>0</x:v>
      </x:c>
      <x:c r="I14" s="42">
        <x:f t="shared" si="2"/>
        <x:v>0</x:v>
      </x:c>
      <x:c r="J14" s="42">
        <x:f t="shared" si="2"/>
        <x:v>0</x:v>
      </x:c>
      <x:c r="K14" s="42">
        <x:f t="shared" si="2"/>
        <x:v>0</x:v>
      </x:c>
      <x:c r="L14" s="42">
        <x:f t="shared" si="2"/>
        <x:v>0</x:v>
      </x:c>
      <x:c r="M14" s="42">
        <x:f t="shared" si="2"/>
        <x:v>0</x:v>
      </x:c>
      <x:c r="N14" s="42">
        <x:f t="shared" si="2"/>
        <x:v>0</x:v>
      </x:c>
      <x:c r="O14" s="42">
        <x:f t="shared" si="2"/>
        <x:v>0</x:v>
      </x:c>
      <x:c r="P14" s="42">
        <x:f t="shared" si="2"/>
        <x:v>0</x:v>
      </x:c>
      <x:c r="Q14" s="42">
        <x:f t="shared" si="2"/>
        <x:v>0</x:v>
      </x:c>
      <x:c r="R14" s="42">
        <x:f t="shared" si="2"/>
        <x:v>0</x:v>
      </x:c>
      <x:c r="S14" s="42">
        <x:f t="shared" si="2"/>
        <x:v>0</x:v>
      </x:c>
      <x:c r="T14" s="42">
        <x:f t="shared" si="2"/>
        <x:v>0</x:v>
      </x:c>
      <x:c r="U14" s="42">
        <x:f t="shared" si="2"/>
        <x:v>0</x:v>
      </x:c>
      <x:c r="V14" s="42">
        <x:f t="shared" si="2"/>
        <x:v>0</x:v>
      </x:c>
      <x:c r="W14" s="42">
        <x:f t="shared" si="2"/>
        <x:v>0</x:v>
      </x:c>
      <x:c r="X14" s="42">
        <x:f t="shared" si="2"/>
        <x:v>0</x:v>
      </x:c>
      <x:c r="Y14" s="42">
        <x:f t="shared" si="2"/>
        <x:v>0</x:v>
      </x:c>
      <x:c r="Z14" s="42">
        <x:f t="shared" si="2"/>
        <x:v>0</x:v>
      </x:c>
    </x:row>
    <x:row r="15" ht="15" customHeight="1">
      <x:c r="A15" s="12" t="s">
        <x:v>344</x:v>
      </x:c>
      <x:c r="B15" s="42" t="n">
        <x:f>B13</x:f>
        <x:v>-400000000</x:v>
      </x:c>
      <x:c r="C15" s="42" t="n">
        <x:f t="shared" ref="C15:Z15" si="3">B15+C13</x:f>
        <x:v>-683714080.60384</x:v>
      </x:c>
      <x:c r="D15" s="42">
        <x:f t="shared" si="3"/>
        <x:v>0</x:v>
      </x:c>
      <x:c r="E15" s="42">
        <x:f t="shared" si="3"/>
        <x:v>0</x:v>
      </x:c>
      <x:c r="F15" s="42">
        <x:f t="shared" si="3"/>
        <x:v>0</x:v>
      </x:c>
      <x:c r="G15" s="42">
        <x:f t="shared" si="3"/>
        <x:v>0</x:v>
      </x:c>
      <x:c r="H15" s="42">
        <x:f t="shared" si="3"/>
        <x:v>0</x:v>
      </x:c>
      <x:c r="I15" s="42">
        <x:f t="shared" si="3"/>
        <x:v>0</x:v>
      </x:c>
      <x:c r="J15" s="42">
        <x:f t="shared" si="3"/>
        <x:v>0</x:v>
      </x:c>
      <x:c r="K15" s="42">
        <x:f t="shared" si="3"/>
        <x:v>0</x:v>
      </x:c>
      <x:c r="L15" s="42">
        <x:f t="shared" si="3"/>
        <x:v>0</x:v>
      </x:c>
      <x:c r="M15" s="42">
        <x:f t="shared" si="3"/>
        <x:v>0</x:v>
      </x:c>
      <x:c r="N15" s="42">
        <x:f t="shared" si="3"/>
        <x:v>0</x:v>
      </x:c>
      <x:c r="O15" s="42">
        <x:f t="shared" si="3"/>
        <x:v>0</x:v>
      </x:c>
      <x:c r="P15" s="42">
        <x:f t="shared" si="3"/>
        <x:v>0</x:v>
      </x:c>
      <x:c r="Q15" s="42">
        <x:f t="shared" si="3"/>
        <x:v>0</x:v>
      </x:c>
      <x:c r="R15" s="42">
        <x:f t="shared" si="3"/>
        <x:v>0</x:v>
      </x:c>
      <x:c r="S15" s="42">
        <x:f t="shared" si="3"/>
        <x:v>0</x:v>
      </x:c>
      <x:c r="T15" s="42">
        <x:f t="shared" si="3"/>
        <x:v>0</x:v>
      </x:c>
      <x:c r="U15" s="42">
        <x:f t="shared" si="3"/>
        <x:v>0</x:v>
      </x:c>
      <x:c r="V15" s="42">
        <x:f t="shared" si="3"/>
        <x:v>0</x:v>
      </x:c>
      <x:c r="W15" s="42">
        <x:f t="shared" si="3"/>
        <x:v>0</x:v>
      </x:c>
      <x:c r="X15" s="42">
        <x:f t="shared" si="3"/>
        <x:v>0</x:v>
      </x:c>
      <x:c r="Y15" s="42">
        <x:f t="shared" si="3"/>
        <x:v>0</x:v>
      </x:c>
      <x:c r="Z15" s="42">
        <x:f t="shared" si="3"/>
        <x:v>0</x:v>
      </x:c>
    </x:row>
    <x:row r="17" ht="15" customHeight="1">
      <x:c r="A17" s="40" t="s">
        <x:v>345</x:v>
      </x:c>
    </x:row>
    <x:row r="18" ht="15" customHeight="1">
      <x:c r="A18" s="12" t="s">
        <x:v>337</x:v>
      </x:c>
      <x:c r="C18" s="41" t="n">
        <x:f>'3_Giả định'!$C$7*(1+'3_Giả định'!$C$8)^0</x:f>
        <x:v>300</x:v>
      </x:c>
      <x:c r="D18" s="41" t="n">
        <x:f>'3_Giả định'!$C$7*(1+'3_Giả định'!$C$8)^1</x:f>
        <x:v>324</x:v>
      </x:c>
      <x:c r="E18" s="41" t="n">
        <x:f>'3_Giả định'!$C$7*(1+'3_Giả định'!$C$8)^2</x:f>
        <x:v>349.92</x:v>
      </x:c>
      <x:c r="F18" s="41" t="n">
        <x:f>'3_Giả định'!$C$7*(1+'3_Giả định'!$C$8)^3</x:f>
        <x:v>377.91360000000003</x:v>
      </x:c>
      <x:c r="G18" s="41" t="n">
        <x:f>'3_Giả định'!$C$7*(1+'3_Giả định'!$C$8)^4</x:f>
        <x:v>408.1466880000001</x:v>
      </x:c>
      <x:c r="H18" s="41" t="n">
        <x:f>'3_Giả định'!$C$7*(1+'3_Giả định'!$C$8)^5</x:f>
        <x:v>440.7984230400001</x:v>
      </x:c>
      <x:c r="I18" s="41" t="n">
        <x:f>'3_Giả định'!$C$7*(1+'3_Giả định'!$C$8)^6</x:f>
        <x:v>476.0622968832002</x:v>
      </x:c>
      <x:c r="J18" s="41" t="n">
        <x:f>'3_Giả định'!$C$7*(1+'3_Giả định'!$C$8)^7</x:f>
        <x:v>514.1472806338562</x:v>
      </x:c>
      <x:c r="K18" s="41" t="n">
        <x:f>'3_Giả định'!$C$7*(1+'3_Giả định'!$C$8)^8</x:f>
        <x:v>555.2790630845647</x:v>
      </x:c>
      <x:c r="L18" s="41" t="n">
        <x:f>'3_Giả định'!$C$7*(1+'3_Giả định'!$C$8)^9</x:f>
        <x:v>599.70138813133</x:v>
      </x:c>
      <x:c r="M18" s="41" t="n">
        <x:f>'3_Giả định'!$C$7*(1+'3_Giả định'!$C$8)^10</x:f>
        <x:v>647.6774991818363</x:v>
      </x:c>
      <x:c r="N18" s="41" t="n">
        <x:f>'3_Giả định'!$C$7*(1+'3_Giả định'!$C$8)^11</x:f>
        <x:v>699.4916991163832</x:v>
      </x:c>
      <x:c r="O18" s="41" t="n">
        <x:f>'3_Giả định'!$C$7*(1+'3_Giả định'!$C$8)^12</x:f>
        <x:v>755.451035045694</x:v>
      </x:c>
      <x:c r="P18" s="41" t="n">
        <x:f>'3_Giả định'!$C$7*(1+'3_Giả định'!$C$8)^13</x:f>
        <x:v>815.8871178493495</x:v>
      </x:c>
      <x:c r="Q18" s="41" t="n">
        <x:f>'3_Giả định'!$C$7*(1+'3_Giả định'!$C$8)^14</x:f>
        <x:v>881.1580872772976</x:v>
      </x:c>
      <x:c r="R18" s="41" t="n">
        <x:f>'3_Giả định'!$C$7*(1+'3_Giả định'!$C$8)^15</x:f>
        <x:v>951.6507342594815</x:v>
      </x:c>
      <x:c r="S18" s="41" t="n">
        <x:f>'3_Giả định'!$C$7*(1+'3_Giả định'!$C$8)^16</x:f>
        <x:v>1027.78279300024</x:v>
      </x:c>
      <x:c r="T18" s="41" t="n">
        <x:f>'3_Giả định'!$C$7*(1+'3_Giả định'!$C$8)^17</x:f>
        <x:v>1110.005416440259</x:v>
      </x:c>
      <x:c r="U18" s="41" t="n">
        <x:f>'3_Giả định'!$C$7*(1+'3_Giả định'!$C$8)^18</x:f>
        <x:v>1198.80584975548</x:v>
      </x:c>
      <x:c r="V18" s="41" t="n">
        <x:f>'3_Giả định'!$C$7*(1+'3_Giả định'!$C$8)^19</x:f>
        <x:v>1294.7103177359186</x:v>
      </x:c>
      <x:c r="W18" s="41" t="n">
        <x:f>'3_Giả định'!$C$7*(1+'3_Giả định'!$C$8)^20</x:f>
        <x:v>1398.287143154792</x:v>
      </x:c>
      <x:c r="X18" s="41" t="n">
        <x:f>'3_Giả định'!$C$7*(1+'3_Giả định'!$C$8)^21</x:f>
        <x:v>1510.1501146071753</x:v>
      </x:c>
      <x:c r="Y18" s="41" t="n">
        <x:f>'3_Giả định'!$C$7*(1+'3_Giả định'!$C$8)^22</x:f>
        <x:v>1630.9621237757497</x:v>
      </x:c>
      <x:c r="Z18" s="41" t="n">
        <x:f>'3_Giả định'!$C$7*(1+'3_Giả định'!$C$8)^23</x:f>
        <x:v>1761.4390936778095</x:v>
      </x:c>
    </x:row>
    <x:row r="19" ht="15" customHeight="1">
      <x:c r="A19" s="12" t="s">
        <x:v>338</x:v>
      </x:c>
      <x:c r="B19" s="1">
        <x:v>0</x:v>
      </x:c>
      <x:c r="C19" s="41" t="n">
        <x:f>B19*(1-'3_Giả định'!$C$9)+C18</x:f>
        <x:v>300</x:v>
      </x:c>
      <x:c r="D19" s="41" t="n">
        <x:f>C19*(1-'3_Giả định'!$C$9)+D18</x:f>
        <x:v>579</x:v>
      </x:c>
      <x:c r="E19" s="41" t="n">
        <x:f>D19*(1-'3_Giả định'!$C$9)+E18</x:f>
        <x:v>842.0699999999999</x:v>
      </x:c>
      <x:c r="F19" s="41" t="n">
        <x:f>E19*(1-'3_Giả định'!$C$9)+F18</x:f>
        <x:v>1093.6731</x:v>
      </x:c>
      <x:c r="G19" s="41" t="n">
        <x:f>F19*(1-'3_Giả định'!$C$9)+G18</x:f>
        <x:v>1337.768823</x:v>
      </x:c>
      <x:c r="H19" s="41" t="n">
        <x:f>G19*(1-'3_Giả định'!$C$9)+H18</x:f>
        <x:v>1577.9019225900001</x:v>
      </x:c>
      <x:c r="I19" s="41" t="n">
        <x:f>H19*(1-'3_Giả định'!$C$9)+I18</x:f>
        <x:v>1817.2789310847002</x:v>
      </x:c>
      <x:c r="J19" s="41" t="n">
        <x:f>I19*(1-'3_Giả định'!$C$9)+J18</x:f>
        <x:v>2058.8343720558514</x:v>
      </x:c>
      <x:c r="K19" s="41" t="n">
        <x:f>J19*(1-'3_Giả định'!$C$9)+K18</x:f>
        <x:v>2305.288279332038</x:v>
      </x:c>
      <x:c r="L19" s="41" t="n">
        <x:f>K19*(1-'3_Giả định'!$C$9)+L18</x:f>
        <x:v>2559.1964255635626</x:v>
      </x:c>
      <x:c r="M19" s="41" t="n">
        <x:f>L19*(1-'3_Giả định'!$C$9)+M18</x:f>
        <x:v>2822.9944609108643</x:v>
      </x:c>
      <x:c r="N19" s="41" t="n">
        <x:f>M19*(1-'3_Giả định'!$C$9)+N18</x:f>
        <x:v>3099.0369908906177</x:v>
      </x:c>
      <x:c r="O19" s="41" t="n">
        <x:f>N19*(1-'3_Giả định'!$C$9)+O18</x:f>
        <x:v>3389.632477302719</x:v>
      </x:c>
      <x:c r="P19" s="41" t="n">
        <x:f>O19*(1-'3_Giả định'!$C$9)+P18</x:f>
        <x:v>3697.0747235566605</x:v>
      </x:c>
      <x:c r="Q19" s="41" t="n">
        <x:f>P19*(1-'3_Giả định'!$C$9)+Q18</x:f>
        <x:v>4023.6716023004587</x:v>
      </x:c>
      <x:c r="R19" s="41" t="n">
        <x:f>Q19*(1-'3_Giả định'!$C$9)+R18</x:f>
        <x:v>4371.771596214871</x:v>
      </x:c>
      <x:c r="S19" s="41" t="n">
        <x:f>R19*(1-'3_Giả định'!$C$9)+S18</x:f>
        <x:v>4743.78864978288</x:v>
      </x:c>
      <x:c r="T19" s="41" t="n">
        <x:f>S19*(1-'3_Giả định'!$C$9)+T18</x:f>
        <x:v>5142.225768755707</x:v>
      </x:c>
      <x:c r="U19" s="41" t="n">
        <x:f>T19*(1-'3_Giả định'!$C$9)+U18</x:f>
        <x:v>5569.697753197831</x:v>
      </x:c>
      <x:c r="V19" s="41" t="n">
        <x:f>U19*(1-'3_Giả định'!$C$9)+V18</x:f>
        <x:v>6028.9534079540745</x:v>
      </x:c>
      <x:c r="W19" s="41" t="n">
        <x:f>V19*(1-'3_Giả định'!$C$9)+W18</x:f>
        <x:v>6522.897539915755</x:v>
      </x:c>
      <x:c r="X19" s="41" t="n">
        <x:f>W19*(1-'3_Giả định'!$C$9)+X18</x:f>
        <x:v>7054.613023535567</x:v>
      </x:c>
      <x:c r="Y19" s="41" t="n">
        <x:f>X19*(1-'3_Giả định'!$C$9)+Y18</x:f>
        <x:v>7627.383193780981</x:v>
      </x:c>
      <x:c r="Z19" s="41" t="n">
        <x:f>Y19*(1-'3_Giả định'!$C$9)+Z18</x:f>
        <x:v>8244.714808391644</x:v>
      </x:c>
    </x:row>
    <x:row r="20" ht="15" customHeight="1">
      <x:c r="A20" s="12" t="s">
        <x:v>77</x:v>
      </x:c>
      <x:c r="C20" s="42" t="n">
        <x:f>C19*'3_Giả định'!$C$17</x:f>
        <x:v>41850000</x:v>
      </x:c>
      <x:c r="D20" s="42" t="n">
        <x:f>D19*'3_Giả định'!$C$17</x:f>
        <x:v>80770500</x:v>
      </x:c>
      <x:c r="E20" s="42" t="n">
        <x:f>E19*'3_Giả định'!$C$17</x:f>
        <x:v>117468764.99999999</x:v>
      </x:c>
      <x:c r="F20" s="42" t="n">
        <x:f>F19*'3_Giả định'!$C$17</x:f>
        <x:v>152567397.45</x:v>
      </x:c>
      <x:c r="G20" s="42" t="n">
        <x:f>G19*'3_Giả định'!$C$17</x:f>
        <x:v>186618750.80850002</x:v>
      </x:c>
      <x:c r="H20" s="42" t="n">
        <x:f>H19*'3_Giả định'!$C$17</x:f>
        <x:v>220117318.20130503</x:v>
      </x:c>
      <x:c r="I20" s="42" t="n">
        <x:f>I19*'3_Giả định'!$C$17</x:f>
        <x:v>253510410.88631567</x:v>
      </x:c>
      <x:c r="J20" s="42" t="n">
        <x:f>J19*'3_Giả định'!$C$17</x:f>
        <x:v>287207394.9017913</x:v>
      </x:c>
      <x:c r="K20" s="42" t="n">
        <x:f>K19*'3_Giả định'!$C$17</x:f>
        <x:v>321587714.96681935</x:v>
      </x:c>
      <x:c r="L20" s="42" t="n">
        <x:f>L19*'3_Giả định'!$C$17</x:f>
        <x:v>357007901.366117</x:v>
      </x:c>
      <x:c r="M20" s="42" t="n">
        <x:f>M19*'3_Giả định'!$C$17</x:f>
        <x:v>393807727.29706556</x:v>
      </x:c>
      <x:c r="N20" s="42" t="n">
        <x:f>N19*'3_Giả định'!$C$17</x:f>
        <x:v>432315660.2292412</x:v>
      </x:c>
      <x:c r="O20" s="42" t="n">
        <x:f>O19*'3_Giả định'!$C$17</x:f>
        <x:v>472853730.5837293</x:v>
      </x:c>
      <x:c r="P20" s="42" t="n">
        <x:f>P19*'3_Giả định'!$C$17</x:f>
        <x:v>515741923.9361541</x:v>
      </x:c>
      <x:c r="Q20" s="42" t="n">
        <x:f>Q19*'3_Giả định'!$C$17</x:f>
        <x:v>561302188.520914</x:v>
      </x:c>
      <x:c r="R20" s="42" t="n">
        <x:f>R19*'3_Giả định'!$C$17</x:f>
        <x:v>609862137.6719745</x:v>
      </x:c>
      <x:c r="S20" s="42" t="n">
        <x:f>S19*'3_Giả định'!$C$17</x:f>
        <x:v>661758516.6447119</x:v>
      </x:c>
      <x:c r="T20" s="42" t="n">
        <x:f>T19*'3_Giả định'!$C$17</x:f>
        <x:v>717340494.7414211</x:v>
      </x:c>
      <x:c r="U20" s="42" t="n">
        <x:f>U19*'3_Giả định'!$C$17</x:f>
        <x:v>776972836.5710974</x:v>
      </x:c>
      <x:c r="V20" s="42" t="n">
        <x:f>V19*'3_Giả định'!$C$17</x:f>
        <x:v>841039000.4095933</x:v>
      </x:c>
      <x:c r="W20" s="42" t="n">
        <x:f>W19*'3_Giả định'!$C$17</x:f>
        <x:v>909944206.8182479</x:v>
      </x:c>
      <x:c r="X20" s="42" t="n">
        <x:f>X19*'3_Giả định'!$C$17</x:f>
        <x:v>984118516.7832116</x:v>
      </x:c>
      <x:c r="Y20" s="42" t="n">
        <x:f>Y19*'3_Giả định'!$C$17</x:f>
        <x:v>1064019955.5324469</x:v>
      </x:c>
      <x:c r="Z20" s="42" t="n">
        <x:f>Z19*'3_Giả định'!$C$17</x:f>
        <x:v>1150137715.7706342</x:v>
      </x:c>
    </x:row>
    <x:row r="21" ht="15" customHeight="1">
      <x:c r="A21" s="12" t="s">
        <x:v>339</x:v>
      </x:c>
      <x:c r="C21" s="42" t="n">
        <x:f>C19*'3_Giả định'!$C$18</x:f>
        <x:v>4409897.9520000005</x:v>
      </x:c>
      <x:c r="D21" s="42" t="n">
        <x:f>D19*'3_Giả định'!$C$18</x:f>
        <x:v>8511103.04736</x:v>
      </x:c>
      <x:c r="E21" s="42" t="n">
        <x:f>E19*'3_Giả định'!$C$18</x:f>
        <x:v>12378142.561468799</x:v>
      </x:c>
      <x:c r="F21" s="42" t="n">
        <x:f>F19*'3_Giả định'!$C$18</x:f>
        <x:v>16076622.546158304</x:v>
      </x:c>
      <x:c r="G21" s="42" t="n">
        <x:f>G19*'3_Giả định'!$C$18</x:f>
        <x:v>19664746.642657172</x:v>
      </x:c>
      <x:c r="H21" s="42" t="n">
        <x:f>H19*'3_Giả định'!$C$18</x:f>
        <x:v>23194621.522955015</x:v>
      </x:c>
      <x:c r="I21" s="42" t="n">
        <x:f>I19*'3_Giả định'!$C$18</x:f>
        <x:v>26713382.121343896</x:v>
      </x:c>
      <x:c r="J21" s="42" t="n">
        <x:f>J19*'3_Giả định'!$C$18</x:f>
        <x:v>30264164.936121017</x:v>
      </x:c>
      <x:c r="K21" s="42" t="n">
        <x:f>K19*'3_Giả định'!$C$18</x:f>
        <x:v>33886953.539319865</x:v>
      </x:c>
      <x:c r="L21" s="42" t="n">
        <x:f>L19*'3_Giả định'!$C$18</x:f>
        <x:v>37619316.91952825</x:v>
      </x:c>
      <x:c r="M21" s="42" t="n">
        <x:f>M19*'3_Giả định'!$C$18</x:f>
        <x:v>41497058.305593885</x:v>
      </x:c>
      <x:c r="N21" s="42" t="n">
        <x:f>N19*'3_Giả định'!$C$18</x:f>
        <x:v>45554789.59766926</x:v>
      </x:c>
      <x:c r="O21" s="42" t="n">
        <x:f>O19*'3_Giả định'!$C$18</x:f>
        <x:v>49826444.39896649</x:v>
      </x:c>
      <x:c r="P21" s="42" t="n">
        <x:f>P19*'3_Giả định'!$C$18</x:f>
        <x:v>54345740.83934495</x:v>
      </x:c>
      <x:c r="Q21" s="42" t="n">
        <x:f>Q19*'3_Giả định'!$C$18</x:f>
        <x:v>59146603.86168451</x:v>
      </x:c>
      <x:c r="R21" s="42" t="n">
        <x:f>R19*'3_Giả định'!$C$18</x:f>
        <x:v>64263555.362532444</x:v>
      </x:c>
      <x:c r="S21" s="42" t="n">
        <x:f>S19*'3_Giả định'!$C$18</x:f>
        <x:v>69732079.50466123</x:v>
      </x:c>
      <x:c r="T21" s="42" t="n">
        <x:f>T19*'3_Giả định'!$C$18</x:f>
        <x:v>75588969.62119138</x:v>
      </x:c>
      <x:c r="U21" s="42" t="n">
        <x:f>U19*'3_Giả định'!$C$18</x:f>
        <x:v>81872662.38362038</x:v>
      </x:c>
      <x:c r="V21" s="42" t="n">
        <x:f>V19*'3_Giả định'!$C$18</x:f>
        <x:v>88623564.28813365</x:v>
      </x:c>
      <x:c r="W21" s="42" t="n">
        <x:f>W19*'3_Giả định'!$C$18</x:f>
        <x:v>95884375.00793442</x:v>
      </x:c>
      <x:c r="X21" s="42" t="n">
        <x:f>X19*'3_Giả định'!$C$18</x:f>
        <x:v>103700411.74880674</x:v>
      </x:c>
      <x:c r="Y21" s="42" t="n">
        <x:f>Y19*'3_Giả định'!$C$18</x:f>
        <x:v>112119938.41791323</x:v>
      </x:c>
      <x:c r="Z21" s="42" t="n">
        <x:f>Z19*'3_Giả định'!$C$18</x:f>
        <x:v>121194503.16116793</x:v>
      </x:c>
    </x:row>
    <x:row r="22" ht="15" customHeight="1">
      <x:c r="A22" s="12" t="s">
        <x:v>79</x:v>
      </x:c>
      <x:c r="C22" s="42" t="n">
        <x:f t="shared" ref="C22:Z22" si="4">C20-C21</x:f>
        <x:v>37440102.048</x:v>
      </x:c>
      <x:c r="D22" s="42">
        <x:f t="shared" si="4"/>
        <x:v>0</x:v>
      </x:c>
      <x:c r="E22" s="42">
        <x:f t="shared" si="4"/>
        <x:v>0</x:v>
      </x:c>
      <x:c r="F22" s="42">
        <x:f t="shared" si="4"/>
        <x:v>0</x:v>
      </x:c>
      <x:c r="G22" s="42">
        <x:f t="shared" si="4"/>
        <x:v>0</x:v>
      </x:c>
      <x:c r="H22" s="42">
        <x:f t="shared" si="4"/>
        <x:v>0</x:v>
      </x:c>
      <x:c r="I22" s="42">
        <x:f t="shared" si="4"/>
        <x:v>0</x:v>
      </x:c>
      <x:c r="J22" s="42">
        <x:f t="shared" si="4"/>
        <x:v>0</x:v>
      </x:c>
      <x:c r="K22" s="42">
        <x:f t="shared" si="4"/>
        <x:v>0</x:v>
      </x:c>
      <x:c r="L22" s="42">
        <x:f t="shared" si="4"/>
        <x:v>0</x:v>
      </x:c>
      <x:c r="M22" s="42">
        <x:f t="shared" si="4"/>
        <x:v>0</x:v>
      </x:c>
      <x:c r="N22" s="42">
        <x:f t="shared" si="4"/>
        <x:v>0</x:v>
      </x:c>
      <x:c r="O22" s="42">
        <x:f t="shared" si="4"/>
        <x:v>0</x:v>
      </x:c>
      <x:c r="P22" s="42">
        <x:f t="shared" si="4"/>
        <x:v>0</x:v>
      </x:c>
      <x:c r="Q22" s="42">
        <x:f t="shared" si="4"/>
        <x:v>0</x:v>
      </x:c>
      <x:c r="R22" s="42">
        <x:f t="shared" si="4"/>
        <x:v>0</x:v>
      </x:c>
      <x:c r="S22" s="42">
        <x:f t="shared" si="4"/>
        <x:v>0</x:v>
      </x:c>
      <x:c r="T22" s="42">
        <x:f t="shared" si="4"/>
        <x:v>0</x:v>
      </x:c>
      <x:c r="U22" s="42">
        <x:f t="shared" si="4"/>
        <x:v>0</x:v>
      </x:c>
      <x:c r="V22" s="42">
        <x:f t="shared" si="4"/>
        <x:v>0</x:v>
      </x:c>
      <x:c r="W22" s="42">
        <x:f t="shared" si="4"/>
        <x:v>0</x:v>
      </x:c>
      <x:c r="X22" s="42">
        <x:f t="shared" si="4"/>
        <x:v>0</x:v>
      </x:c>
      <x:c r="Y22" s="42">
        <x:f t="shared" si="4"/>
        <x:v>0</x:v>
      </x:c>
      <x:c r="Z22" s="42">
        <x:f t="shared" si="4"/>
        <x:v>0</x:v>
      </x:c>
    </x:row>
    <x:row r="23" ht="15" customHeight="1">
      <x:c r="A23" s="12" t="s">
        <x:v>340</x:v>
      </x:c>
      <x:c r="C23" s="42" t="n">
        <x:f>C18*'3_Giả định'!$C$10</x:f>
        <x:v>210000000</x:v>
      </x:c>
      <x:c r="D23" s="42" t="n">
        <x:f>D18*'3_Giả định'!$C$10</x:f>
        <x:v>226800000</x:v>
      </x:c>
      <x:c r="E23" s="42" t="n">
        <x:f>E18*'3_Giả định'!$C$10</x:f>
        <x:v>244944000</x:v>
      </x:c>
      <x:c r="F23" s="42" t="n">
        <x:f>F18*'3_Giả định'!$C$10</x:f>
        <x:v>264539520.00000003</x:v>
      </x:c>
      <x:c r="G23" s="42" t="n">
        <x:f>G18*'3_Giả định'!$C$10</x:f>
        <x:v>285702681.6000001</x:v>
      </x:c>
      <x:c r="H23" s="42" t="n">
        <x:f>H18*'3_Giả định'!$C$10</x:f>
        <x:v>308558896.1280001</x:v>
      </x:c>
      <x:c r="I23" s="42" t="n">
        <x:f>I18*'3_Giả định'!$C$10</x:f>
        <x:v>333243607.8182401</x:v>
      </x:c>
      <x:c r="J23" s="42" t="n">
        <x:f>J18*'3_Giả định'!$C$10</x:f>
        <x:v>359903096.44369936</x:v>
      </x:c>
      <x:c r="K23" s="42" t="n">
        <x:f>K18*'3_Giả định'!$C$10</x:f>
        <x:v>388695344.15919524</x:v>
      </x:c>
      <x:c r="L23" s="42" t="n">
        <x:f>L18*'3_Giả định'!$C$10</x:f>
        <x:v>419790971.69193095</x:v>
      </x:c>
      <x:c r="M23" s="42" t="n">
        <x:f>M18*'3_Giả định'!$C$10</x:f>
        <x:v>453374249.42728543</x:v>
      </x:c>
      <x:c r="N23" s="42" t="n">
        <x:f>N18*'3_Giả định'!$C$10</x:f>
        <x:v>489644189.38146824</x:v>
      </x:c>
      <x:c r="O23" s="42" t="n">
        <x:f>O18*'3_Giả định'!$C$10</x:f>
        <x:v>528815724.53198576</x:v>
      </x:c>
      <x:c r="P23" s="42" t="n">
        <x:f>P18*'3_Giả định'!$C$10</x:f>
        <x:v>571120982.4945446</x:v>
      </x:c>
      <x:c r="Q23" s="42" t="n">
        <x:f>Q18*'3_Giả định'!$C$10</x:f>
        <x:v>616810661.0941083</x:v>
      </x:c>
      <x:c r="R23" s="42" t="n">
        <x:f>R18*'3_Giả định'!$C$10</x:f>
        <x:v>666155513.981637</x:v>
      </x:c>
      <x:c r="S23" s="42" t="n">
        <x:f>S18*'3_Giả định'!$C$10</x:f>
        <x:v>719447955.100168</x:v>
      </x:c>
      <x:c r="T23" s="42" t="n">
        <x:f>T18*'3_Giả định'!$C$10</x:f>
        <x:v>777003791.5081813</x:v>
      </x:c>
      <x:c r="U23" s="42" t="n">
        <x:f>U18*'3_Giả định'!$C$10</x:f>
        <x:v>839164094.8288361</x:v>
      </x:c>
      <x:c r="V23" s="42" t="n">
        <x:f>V18*'3_Giả định'!$C$10</x:f>
        <x:v>906297222.415143</x:v>
      </x:c>
      <x:c r="W23" s="42" t="n">
        <x:f>W18*'3_Giả định'!$C$10</x:f>
        <x:v>978801000.2083544</x:v>
      </x:c>
      <x:c r="X23" s="42" t="n">
        <x:f>X18*'3_Giả định'!$C$10</x:f>
        <x:v>1057105080.2250227</x:v>
      </x:c>
      <x:c r="Y23" s="42" t="n">
        <x:f>Y18*'3_Giả định'!$C$10</x:f>
        <x:v>1141673486.6430247</x:v>
      </x:c>
      <x:c r="Z23" s="42" t="n">
        <x:f>Z18*'3_Giả định'!$C$10</x:f>
        <x:v>1233007365.5744667</x:v>
      </x:c>
    </x:row>
    <x:row r="24" ht="15" customHeight="1">
      <x:c r="A24" s="12" t="s">
        <x:v>341</x:v>
      </x:c>
      <x:c r="C24" s="42" t="n">
        <x:f>'3_Giả định'!$C$11</x:f>
        <x:v>120000000</x:v>
      </x:c>
      <x:c r="D24" s="42" t="n">
        <x:f>'3_Giả định'!$C$11</x:f>
        <x:v>120000000</x:v>
      </x:c>
      <x:c r="E24" s="42" t="n">
        <x:f>'3_Giả định'!$C$11</x:f>
        <x:v>120000000</x:v>
      </x:c>
      <x:c r="F24" s="42" t="n">
        <x:f>'3_Giả định'!$C$11</x:f>
        <x:v>120000000</x:v>
      </x:c>
      <x:c r="G24" s="42" t="n">
        <x:f>'3_Giả định'!$C$11</x:f>
        <x:v>120000000</x:v>
      </x:c>
      <x:c r="H24" s="42" t="n">
        <x:f>'3_Giả định'!$C$11</x:f>
        <x:v>120000000</x:v>
      </x:c>
      <x:c r="I24" s="42" t="n">
        <x:f>'3_Giả định'!$C$11</x:f>
        <x:v>120000000</x:v>
      </x:c>
      <x:c r="J24" s="42" t="n">
        <x:f>'3_Giả định'!$C$11</x:f>
        <x:v>120000000</x:v>
      </x:c>
      <x:c r="K24" s="42" t="n">
        <x:f>'3_Giả định'!$C$11</x:f>
        <x:v>120000000</x:v>
      </x:c>
      <x:c r="L24" s="42" t="n">
        <x:f>'3_Giả định'!$C$11</x:f>
        <x:v>120000000</x:v>
      </x:c>
      <x:c r="M24" s="42" t="n">
        <x:f>'3_Giả định'!$C$11</x:f>
        <x:v>120000000</x:v>
      </x:c>
      <x:c r="N24" s="42" t="n">
        <x:f>'3_Giả định'!$C$11</x:f>
        <x:v>120000000</x:v>
      </x:c>
      <x:c r="O24" s="42" t="n">
        <x:f>'3_Giả định'!$C$11</x:f>
        <x:v>120000000</x:v>
      </x:c>
      <x:c r="P24" s="42" t="n">
        <x:f>'3_Giả định'!$C$11</x:f>
        <x:v>120000000</x:v>
      </x:c>
      <x:c r="Q24" s="42" t="n">
        <x:f>'3_Giả định'!$C$11</x:f>
        <x:v>120000000</x:v>
      </x:c>
      <x:c r="R24" s="42" t="n">
        <x:f>'3_Giả định'!$C$11</x:f>
        <x:v>120000000</x:v>
      </x:c>
      <x:c r="S24" s="42" t="n">
        <x:f>'3_Giả định'!$C$11</x:f>
        <x:v>120000000</x:v>
      </x:c>
      <x:c r="T24" s="42" t="n">
        <x:f>'3_Giả định'!$C$11</x:f>
        <x:v>120000000</x:v>
      </x:c>
      <x:c r="U24" s="42" t="n">
        <x:f>'3_Giả định'!$C$11</x:f>
        <x:v>120000000</x:v>
      </x:c>
      <x:c r="V24" s="42" t="n">
        <x:f>'3_Giả định'!$C$11</x:f>
        <x:v>120000000</x:v>
      </x:c>
      <x:c r="W24" s="42" t="n">
        <x:f>'3_Giả định'!$C$11</x:f>
        <x:v>120000000</x:v>
      </x:c>
      <x:c r="X24" s="42" t="n">
        <x:f>'3_Giả định'!$C$11</x:f>
        <x:v>120000000</x:v>
      </x:c>
      <x:c r="Y24" s="42" t="n">
        <x:f>'3_Giả định'!$C$11</x:f>
        <x:v>120000000</x:v>
      </x:c>
      <x:c r="Z24" s="42" t="n">
        <x:f>'3_Giả định'!$C$11</x:f>
        <x:v>120000000</x:v>
      </x:c>
    </x:row>
    <x:row r="25" ht="15" customHeight="1">
      <x:c r="A25" s="12" t="s">
        <x:v>342</x:v>
      </x:c>
      <x:c r="B25" s="42" t="n">
        <x:f>-'3_Giả định'!$C$12</x:f>
        <x:v>-400000000</x:v>
      </x:c>
      <x:c r="C25" s="42" t="n">
        <x:f t="shared" ref="C25:Z25" si="5">C22-C23-C24</x:f>
        <x:v>-292559897.952</x:v>
      </x:c>
      <x:c r="D25" s="42">
        <x:f t="shared" si="5"/>
        <x:v>0</x:v>
      </x:c>
      <x:c r="E25" s="42">
        <x:f t="shared" si="5"/>
        <x:v>0</x:v>
      </x:c>
      <x:c r="F25" s="42">
        <x:f t="shared" si="5"/>
        <x:v>0</x:v>
      </x:c>
      <x:c r="G25" s="42">
        <x:f t="shared" si="5"/>
        <x:v>0</x:v>
      </x:c>
      <x:c r="H25" s="42">
        <x:f t="shared" si="5"/>
        <x:v>0</x:v>
      </x:c>
      <x:c r="I25" s="42">
        <x:f t="shared" si="5"/>
        <x:v>0</x:v>
      </x:c>
      <x:c r="J25" s="42">
        <x:f t="shared" si="5"/>
        <x:v>0</x:v>
      </x:c>
      <x:c r="K25" s="42">
        <x:f t="shared" si="5"/>
        <x:v>0</x:v>
      </x:c>
      <x:c r="L25" s="42">
        <x:f t="shared" si="5"/>
        <x:v>0</x:v>
      </x:c>
      <x:c r="M25" s="42">
        <x:f t="shared" si="5"/>
        <x:v>0</x:v>
      </x:c>
      <x:c r="N25" s="42">
        <x:f t="shared" si="5"/>
        <x:v>0</x:v>
      </x:c>
      <x:c r="O25" s="42">
        <x:f t="shared" si="5"/>
        <x:v>0</x:v>
      </x:c>
      <x:c r="P25" s="42">
        <x:f t="shared" si="5"/>
        <x:v>0</x:v>
      </x:c>
      <x:c r="Q25" s="42">
        <x:f t="shared" si="5"/>
        <x:v>0</x:v>
      </x:c>
      <x:c r="R25" s="42">
        <x:f t="shared" si="5"/>
        <x:v>0</x:v>
      </x:c>
      <x:c r="S25" s="42">
        <x:f t="shared" si="5"/>
        <x:v>0</x:v>
      </x:c>
      <x:c r="T25" s="42">
        <x:f t="shared" si="5"/>
        <x:v>0</x:v>
      </x:c>
      <x:c r="U25" s="42">
        <x:f t="shared" si="5"/>
        <x:v>0</x:v>
      </x:c>
      <x:c r="V25" s="42">
        <x:f t="shared" si="5"/>
        <x:v>0</x:v>
      </x:c>
      <x:c r="W25" s="42">
        <x:f t="shared" si="5"/>
        <x:v>0</x:v>
      </x:c>
      <x:c r="X25" s="42">
        <x:f t="shared" si="5"/>
        <x:v>0</x:v>
      </x:c>
      <x:c r="Y25" s="42">
        <x:f t="shared" si="5"/>
        <x:v>0</x:v>
      </x:c>
      <x:c r="Z25" s="42">
        <x:f t="shared" si="5"/>
        <x:v>0</x:v>
      </x:c>
    </x:row>
    <x:row r="26" ht="15" customHeight="1">
      <x:c r="A26" s="12" t="s">
        <x:v>343</x:v>
      </x:c>
      <x:c r="B26" s="42" t="n">
        <x:f>'3_Giả định'!$C$13+B25</x:f>
        <x:v>1100000000</x:v>
      </x:c>
      <x:c r="C26" s="42" t="n">
        <x:f t="shared" ref="C26:Z26" si="6">B26+C25</x:f>
        <x:v>807440102.048</x:v>
      </x:c>
      <x:c r="D26" s="42">
        <x:f t="shared" si="6"/>
        <x:v>0</x:v>
      </x:c>
      <x:c r="E26" s="42">
        <x:f t="shared" si="6"/>
        <x:v>0</x:v>
      </x:c>
      <x:c r="F26" s="42">
        <x:f t="shared" si="6"/>
        <x:v>0</x:v>
      </x:c>
      <x:c r="G26" s="42">
        <x:f t="shared" si="6"/>
        <x:v>0</x:v>
      </x:c>
      <x:c r="H26" s="42">
        <x:f t="shared" si="6"/>
        <x:v>0</x:v>
      </x:c>
      <x:c r="I26" s="42">
        <x:f t="shared" si="6"/>
        <x:v>0</x:v>
      </x:c>
      <x:c r="J26" s="42">
        <x:f t="shared" si="6"/>
        <x:v>0</x:v>
      </x:c>
      <x:c r="K26" s="42">
        <x:f t="shared" si="6"/>
        <x:v>0</x:v>
      </x:c>
      <x:c r="L26" s="42">
        <x:f t="shared" si="6"/>
        <x:v>0</x:v>
      </x:c>
      <x:c r="M26" s="42">
        <x:f t="shared" si="6"/>
        <x:v>0</x:v>
      </x:c>
      <x:c r="N26" s="42">
        <x:f t="shared" si="6"/>
        <x:v>0</x:v>
      </x:c>
      <x:c r="O26" s="42">
        <x:f t="shared" si="6"/>
        <x:v>0</x:v>
      </x:c>
      <x:c r="P26" s="42">
        <x:f t="shared" si="6"/>
        <x:v>0</x:v>
      </x:c>
      <x:c r="Q26" s="42">
        <x:f t="shared" si="6"/>
        <x:v>0</x:v>
      </x:c>
      <x:c r="R26" s="42">
        <x:f t="shared" si="6"/>
        <x:v>0</x:v>
      </x:c>
      <x:c r="S26" s="42">
        <x:f t="shared" si="6"/>
        <x:v>0</x:v>
      </x:c>
      <x:c r="T26" s="42">
        <x:f t="shared" si="6"/>
        <x:v>0</x:v>
      </x:c>
      <x:c r="U26" s="42">
        <x:f t="shared" si="6"/>
        <x:v>0</x:v>
      </x:c>
      <x:c r="V26" s="42">
        <x:f t="shared" si="6"/>
        <x:v>0</x:v>
      </x:c>
      <x:c r="W26" s="42">
        <x:f t="shared" si="6"/>
        <x:v>0</x:v>
      </x:c>
      <x:c r="X26" s="42">
        <x:f t="shared" si="6"/>
        <x:v>0</x:v>
      </x:c>
      <x:c r="Y26" s="42">
        <x:f t="shared" si="6"/>
        <x:v>0</x:v>
      </x:c>
      <x:c r="Z26" s="42">
        <x:f t="shared" si="6"/>
        <x:v>0</x:v>
      </x:c>
    </x:row>
    <x:row r="27" ht="15" customHeight="1">
      <x:c r="A27" s="12" t="s">
        <x:v>344</x:v>
      </x:c>
      <x:c r="B27" s="42" t="n">
        <x:f>B25</x:f>
        <x:v>-400000000</x:v>
      </x:c>
      <x:c r="C27" s="42" t="n">
        <x:f t="shared" ref="C27:Z27" si="7">B27+C25</x:f>
        <x:v>-692559897.952</x:v>
      </x:c>
      <x:c r="D27" s="42">
        <x:f t="shared" si="7"/>
        <x:v>0</x:v>
      </x:c>
      <x:c r="E27" s="42">
        <x:f t="shared" si="7"/>
        <x:v>0</x:v>
      </x:c>
      <x:c r="F27" s="42">
        <x:f t="shared" si="7"/>
        <x:v>0</x:v>
      </x:c>
      <x:c r="G27" s="42">
        <x:f t="shared" si="7"/>
        <x:v>0</x:v>
      </x:c>
      <x:c r="H27" s="42">
        <x:f t="shared" si="7"/>
        <x:v>0</x:v>
      </x:c>
      <x:c r="I27" s="42">
        <x:f t="shared" si="7"/>
        <x:v>0</x:v>
      </x:c>
      <x:c r="J27" s="42">
        <x:f t="shared" si="7"/>
        <x:v>0</x:v>
      </x:c>
      <x:c r="K27" s="42">
        <x:f t="shared" si="7"/>
        <x:v>0</x:v>
      </x:c>
      <x:c r="L27" s="42">
        <x:f t="shared" si="7"/>
        <x:v>0</x:v>
      </x:c>
      <x:c r="M27" s="42">
        <x:f t="shared" si="7"/>
        <x:v>0</x:v>
      </x:c>
      <x:c r="N27" s="42">
        <x:f t="shared" si="7"/>
        <x:v>0</x:v>
      </x:c>
      <x:c r="O27" s="42">
        <x:f t="shared" si="7"/>
        <x:v>0</x:v>
      </x:c>
      <x:c r="P27" s="42">
        <x:f t="shared" si="7"/>
        <x:v>0</x:v>
      </x:c>
      <x:c r="Q27" s="42">
        <x:f t="shared" si="7"/>
        <x:v>0</x:v>
      </x:c>
      <x:c r="R27" s="42">
        <x:f t="shared" si="7"/>
        <x:v>0</x:v>
      </x:c>
      <x:c r="S27" s="42">
        <x:f t="shared" si="7"/>
        <x:v>0</x:v>
      </x:c>
      <x:c r="T27" s="42">
        <x:f t="shared" si="7"/>
        <x:v>0</x:v>
      </x:c>
      <x:c r="U27" s="42">
        <x:f t="shared" si="7"/>
        <x:v>0</x:v>
      </x:c>
      <x:c r="V27" s="42">
        <x:f t="shared" si="7"/>
        <x:v>0</x:v>
      </x:c>
      <x:c r="W27" s="42">
        <x:f t="shared" si="7"/>
        <x:v>0</x:v>
      </x:c>
      <x:c r="X27" s="42">
        <x:f t="shared" si="7"/>
        <x:v>0</x:v>
      </x:c>
      <x:c r="Y27" s="42">
        <x:f t="shared" si="7"/>
        <x:v>0</x:v>
      </x:c>
      <x:c r="Z27" s="42">
        <x:f t="shared" si="7"/>
        <x:v>0</x:v>
      </x:c>
    </x:row>
    <x:row r="29" ht="15" customHeight="1">
      <x:c r="A29" s="40" t="s">
        <x:v>346</x:v>
      </x:c>
    </x:row>
    <x:row r="30" ht="15" customHeight="1">
      <x:c r="A30" s="12" t="s">
        <x:v>337</x:v>
      </x:c>
      <x:c r="C30" s="41" t="n">
        <x:f>'3_Giả định'!$D$7*(1+'3_Giả định'!$D$8)^0</x:f>
        <x:v>150</x:v>
      </x:c>
      <x:c r="D30" s="41" t="n">
        <x:f>'3_Giả định'!$D$7*(1+'3_Giả định'!$D$8)^1</x:f>
        <x:v>154.8</x:v>
      </x:c>
      <x:c r="E30" s="41" t="n">
        <x:f>'3_Giả định'!$D$7*(1+'3_Giả định'!$D$8)^2</x:f>
        <x:v>159.7536</x:v>
      </x:c>
      <x:c r="F30" s="41" t="n">
        <x:f>'3_Giả định'!$D$7*(1+'3_Giả định'!$D$8)^3</x:f>
        <x:v>164.86571519999998</x:v>
      </x:c>
      <x:c r="G30" s="41" t="n">
        <x:f>'3_Giả định'!$D$7*(1+'3_Giả định'!$D$8)^4</x:f>
        <x:v>170.1414180864</x:v>
      </x:c>
      <x:c r="H30" s="41" t="n">
        <x:f>'3_Giả định'!$D$7*(1+'3_Giả định'!$D$8)^5</x:f>
        <x:v>175.5859434651648</x:v>
      </x:c>
      <x:c r="I30" s="41" t="n">
        <x:f>'3_Giả định'!$D$7*(1+'3_Giả định'!$D$8)^6</x:f>
        <x:v>181.20469365605004</x:v>
      </x:c>
      <x:c r="J30" s="41" t="n">
        <x:f>'3_Giả định'!$D$7*(1+'3_Giả định'!$D$8)^7</x:f>
        <x:v>187.00324385304364</x:v>
      </x:c>
      <x:c r="K30" s="41" t="n">
        <x:f>'3_Giả định'!$D$7*(1+'3_Giả định'!$D$8)^8</x:f>
        <x:v>192.98734765634106</x:v>
      </x:c>
      <x:c r="L30" s="41" t="n">
        <x:f>'3_Giả định'!$D$7*(1+'3_Giả định'!$D$8)^9</x:f>
        <x:v>199.162942781344</x:v>
      </x:c>
      <x:c r="M30" s="41" t="n">
        <x:f>'3_Giả định'!$D$7*(1+'3_Giả định'!$D$8)^10</x:f>
        <x:v>205.53615695034696</x:v>
      </x:c>
      <x:c r="N30" s="41" t="n">
        <x:f>'3_Giả định'!$D$7*(1+'3_Giả định'!$D$8)^11</x:f>
        <x:v>212.11331397275808</x:v>
      </x:c>
      <x:c r="O30" s="41" t="n">
        <x:f>'3_Giả định'!$D$7*(1+'3_Giả định'!$D$8)^12</x:f>
        <x:v>218.90094001988635</x:v>
      </x:c>
      <x:c r="P30" s="41" t="n">
        <x:f>'3_Giả định'!$D$7*(1+'3_Giả định'!$D$8)^13</x:f>
        <x:v>225.90577010052272</x:v>
      </x:c>
      <x:c r="Q30" s="41" t="n">
        <x:f>'3_Giả định'!$D$7*(1+'3_Giả định'!$D$8)^14</x:f>
        <x:v>233.1347547437394</x:v>
      </x:c>
      <x:c r="R30" s="41" t="n">
        <x:f>'3_Giả định'!$D$7*(1+'3_Giả định'!$D$8)^15</x:f>
        <x:v>240.59506689553902</x:v>
      </x:c>
      <x:c r="S30" s="41" t="n">
        <x:f>'3_Giả định'!$D$7*(1+'3_Giả định'!$D$8)^16</x:f>
        <x:v>248.29410903619632</x:v>
      </x:c>
      <x:c r="T30" s="41" t="n">
        <x:f>'3_Giả định'!$D$7*(1+'3_Giả định'!$D$8)^17</x:f>
        <x:v>256.23952052535464</x:v>
      </x:c>
      <x:c r="U30" s="41" t="n">
        <x:f>'3_Giả định'!$D$7*(1+'3_Giả định'!$D$8)^18</x:f>
        <x:v>264.43918518216594</x:v>
      </x:c>
      <x:c r="V30" s="41" t="n">
        <x:f>'3_Giả định'!$D$7*(1+'3_Giả định'!$D$8)^19</x:f>
        <x:v>272.90123910799525</x:v>
      </x:c>
      <x:c r="W30" s="41" t="n">
        <x:f>'3_Giả định'!$D$7*(1+'3_Giả định'!$D$8)^20</x:f>
        <x:v>281.6340787594511</x:v>
      </x:c>
      <x:c r="X30" s="41" t="n">
        <x:f>'3_Giả định'!$D$7*(1+'3_Giả định'!$D$8)^21</x:f>
        <x:v>290.64636927975357</x:v>
      </x:c>
      <x:c r="Y30" s="41" t="n">
        <x:f>'3_Giả định'!$D$7*(1+'3_Giả định'!$D$8)^22</x:f>
        <x:v>299.94705309670564</x:v>
      </x:c>
      <x:c r="Z30" s="41" t="n">
        <x:f>'3_Giả định'!$D$7*(1+'3_Giả định'!$D$8)^23</x:f>
        <x:v>309.5453587958002</x:v>
      </x:c>
    </x:row>
    <x:row r="31" ht="15" customHeight="1">
      <x:c r="A31" s="12" t="s">
        <x:v>338</x:v>
      </x:c>
      <x:c r="B31" s="1">
        <x:v>0</x:v>
      </x:c>
      <x:c r="C31" s="41" t="n">
        <x:f>B31*(1-'3_Giả định'!$D$9)+C30</x:f>
        <x:v>150</x:v>
      </x:c>
      <x:c r="D31" s="41" t="n">
        <x:f>C31*(1-'3_Giả định'!$D$9)+D30</x:f>
        <x:v>268.8</x:v>
      </x:c>
      <x:c r="E31" s="41" t="n">
        <x:f>D31*(1-'3_Giả định'!$D$9)+E30</x:f>
        <x:v>364.0416</x:v>
      </x:c>
      <x:c r="F31" s="41" t="n">
        <x:f>E31*(1-'3_Giả định'!$D$9)+F30</x:f>
        <x:v>441.53733120000004</x:v>
      </x:c>
      <x:c r="G31" s="41" t="n">
        <x:f>F31*(1-'3_Giả định'!$D$9)+G30</x:f>
        <x:v>505.70978979840004</x:v>
      </x:c>
      <x:c r="H31" s="41" t="n">
        <x:f>G31*(1-'3_Giả định'!$D$9)+H30</x:f>
        <x:v>559.9253837119488</x:v>
      </x:c>
      <x:c r="I31" s="41" t="n">
        <x:f>H31*(1-'3_Giả định'!$D$9)+I30</x:f>
        <x:v>606.7479852771312</x:v>
      </x:c>
      <x:c r="J31" s="41" t="n">
        <x:f>I31*(1-'3_Giả định'!$D$9)+J30</x:f>
        <x:v>648.1317126636634</x:v>
      </x:c>
      <x:c r="K31" s="41" t="n">
        <x:f>J31*(1-'3_Giả định'!$D$9)+K30</x:f>
        <x:v>685.5674492807252</x:v>
      </x:c>
      <x:c r="L31" s="41" t="n">
        <x:f>K31*(1-'3_Giả định'!$D$9)+L30</x:f>
        <x:v>720.1942042346951</x:v>
      </x:c>
      <x:c r="M31" s="41" t="n">
        <x:f>L31*(1-'3_Giả định'!$D$9)+M30</x:f>
        <x:v>752.8837521687152</x:v>
      </x:c>
      <x:c r="N31" s="41" t="n">
        <x:f>M31*(1-'3_Giả định'!$D$9)+N30</x:f>
        <x:v>784.3049656209816</x:v>
      </x:c>
      <x:c r="O31" s="41" t="n">
        <x:f>N31*(1-'3_Giả định'!$D$9)+O30</x:f>
        <x:v>814.9727138918324</x:v>
      </x:c>
      <x:c r="P31" s="41" t="n">
        <x:f>O31*(1-'3_Giả định'!$D$9)+P30</x:f>
        <x:v>845.2850326583155</x:v>
      </x:c>
      <x:c r="Q31" s="41" t="n">
        <x:f>P31*(1-'3_Giả định'!$D$9)+Q30</x:f>
        <x:v>875.5513795640591</x:v>
      </x:c>
      <x:c r="R31" s="41" t="n">
        <x:f>Q31*(1-'3_Giả định'!$D$9)+R30</x:f>
        <x:v>906.0141153642239</x:v>
      </x:c>
      <x:c r="S31" s="41" t="n">
        <x:f>R31*(1-'3_Giả định'!$D$9)+S30</x:f>
        <x:v>936.8648367130065</x:v>
      </x:c>
      <x:c r="T31" s="41" t="n">
        <x:f>S31*(1-'3_Giả định'!$D$9)+T30</x:f>
        <x:v>968.2567964272396</x:v>
      </x:c>
      <x:c r="U31" s="41" t="n">
        <x:f>T31*(1-'3_Giả định'!$D$9)+U30</x:f>
        <x:v>1000.3143504668681</x:v>
      </x:c>
      <x:c r="V31" s="41" t="n">
        <x:f>U31*(1-'3_Giả định'!$D$9)+V30</x:f>
        <x:v>1033.1401454628149</x:v>
      </x:c>
      <x:c r="W31" s="41" t="n">
        <x:f>V31*(1-'3_Giả định'!$D$9)+W30</x:f>
        <x:v>1066.8205893111904</x:v>
      </x:c>
      <x:c r="X31" s="41" t="n">
        <x:f>W31*(1-'3_Giả định'!$D$9)+X30</x:f>
        <x:v>1101.4300171562581</x:v>
      </x:c>
      <x:c r="Y31" s="41" t="n">
        <x:f>X31*(1-'3_Giả định'!$D$9)+Y30</x:f>
        <x:v>1137.0338661354617</x:v>
      </x:c>
      <x:c r="Z31" s="41" t="n">
        <x:f>Y31*(1-'3_Giả định'!$D$9)+Z30</x:f>
        <x:v>1173.691097058751</x:v>
      </x:c>
    </x:row>
    <x:row r="32" ht="15" customHeight="1">
      <x:c r="A32" s="12" t="s">
        <x:v>77</x:v>
      </x:c>
      <x:c r="C32" s="42" t="n">
        <x:f>C31*'3_Giả định'!$D$17</x:f>
        <x:v>16740000</x:v>
      </x:c>
      <x:c r="D32" s="42" t="n">
        <x:f>D31*'3_Giả định'!$D$17</x:f>
        <x:v>29998080</x:v>
      </x:c>
      <x:c r="E32" s="42" t="n">
        <x:f>E31*'3_Giả định'!$D$17</x:f>
        <x:v>40627042.56</x:v>
      </x:c>
      <x:c r="F32" s="42" t="n">
        <x:f>F31*'3_Giả định'!$D$17</x:f>
        <x:v>49275566.16192</x:v>
      </x:c>
      <x:c r="G32" s="42" t="n">
        <x:f>G31*'3_Giả định'!$D$17</x:f>
        <x:v>56437212.54150145</x:v>
      </x:c>
      <x:c r="H32" s="42" t="n">
        <x:f>H31*'3_Giả định'!$D$17</x:f>
        <x:v>62487672.82225349</x:v>
      </x:c>
      <x:c r="I32" s="42" t="n">
        <x:f>I31*'3_Giả định'!$D$17</x:f>
        <x:v>67713075.15692784</x:v>
      </x:c>
      <x:c r="J32" s="42" t="n">
        <x:f>J31*'3_Giả định'!$D$17</x:f>
        <x:v>72331499.13326484</x:v>
      </x:c>
      <x:c r="K32" s="42" t="n">
        <x:f>K31*'3_Giả định'!$D$17</x:f>
        <x:v>76509327.33972894</x:v>
      </x:c>
      <x:c r="L32" s="42" t="n">
        <x:f>L31*'3_Giả định'!$D$17</x:f>
        <x:v>80373673.19259198</x:v>
      </x:c>
      <x:c r="M32" s="42" t="n">
        <x:f>M31*'3_Giả định'!$D$17</x:f>
        <x:v>84021826.74202862</x:v>
      </x:c>
      <x:c r="N32" s="42" t="n">
        <x:f>N31*'3_Giả định'!$D$17</x:f>
        <x:v>87528434.16330156</x:v>
      </x:c>
      <x:c r="O32" s="42" t="n">
        <x:f>O31*'3_Giả định'!$D$17</x:f>
        <x:v>90950954.8703285</x:v>
      </x:c>
      <x:c r="P32" s="42" t="n">
        <x:f>P31*'3_Giả định'!$D$17</x:f>
        <x:v>94333809.644668</x:v>
      </x:c>
      <x:c r="Q32" s="42" t="n">
        <x:f>Q31*'3_Giả định'!$D$17</x:f>
        <x:v>97711533.95934899</x:v>
      </x:c>
      <x:c r="R32" s="42" t="n">
        <x:f>R31*'3_Giả định'!$D$17</x:f>
        <x:v>101111175.27464738</x:v>
      </x:c>
      <x:c r="S32" s="42" t="n">
        <x:f>S31*'3_Giả định'!$D$17</x:f>
        <x:v>104554115.77717152</x:v>
      </x:c>
      <x:c r="T32" s="42" t="n">
        <x:f>T31*'3_Giả định'!$D$17</x:f>
        <x:v>108057458.48127994</x:v>
      </x:c>
      <x:c r="U32" s="42" t="n">
        <x:f>U31*'3_Giả định'!$D$17</x:f>
        <x:v>111635081.51210247</x:v>
      </x:c>
      <x:c r="V32" s="42" t="n">
        <x:f>V31*'3_Giả định'!$D$17</x:f>
        <x:v>115298440.23365013</x:v>
      </x:c>
      <x:c r="W32" s="42" t="n">
        <x:f>W31*'3_Giả định'!$D$17</x:f>
        <x:v>119057177.76712884</x:v>
      </x:c>
      <x:c r="X32" s="42" t="n">
        <x:f>X31*'3_Giả định'!$D$17</x:f>
        <x:v>122919589.91463841</x:v>
      </x:c>
      <x:c r="Y32" s="42" t="n">
        <x:f>Y31*'3_Giả định'!$D$17</x:f>
        <x:v>126892979.46071753</x:v>
      </x:c>
      <x:c r="Z32" s="42" t="n">
        <x:f>Z31*'3_Giả định'!$D$17</x:f>
        <x:v>130983926.43175662</x:v>
      </x:c>
    </x:row>
    <x:row r="33" ht="15" customHeight="1">
      <x:c r="A33" s="12" t="s">
        <x:v>339</x:v>
      </x:c>
      <x:c r="C33" s="42" t="n">
        <x:f>C31*'3_Giả định'!$D$18</x:f>
        <x:v>2645938.7712000003</x:v>
      </x:c>
      <x:c r="D33" s="42" t="n">
        <x:f>D31*'3_Giả định'!$D$18</x:f>
        <x:v>4741522.277990401</x:v>
      </x:c>
      <x:c r="E33" s="42" t="n">
        <x:f>E31*'3_Giả định'!$D$18</x:f>
        <x:v>6421545.225131214</x:v>
      </x:c>
      <x:c r="F33" s="42" t="n">
        <x:f>F31*'3_Giả định'!$D$18</x:f>
        <x:v>7788538.290361704</x:v>
      </x:c>
      <x:c r="G33" s="42" t="n">
        <x:f>G31*'3_Giả định'!$D$18</x:f>
        <x:v>8920514.26535326</x:v>
      </x:c>
      <x:c r="H33" s="42" t="n">
        <x:f>H31*'3_Giả định'!$D$18</x:f>
        <x:v>9876855.21161655</x:v>
      </x:c>
      <x:c r="I33" s="42" t="n">
        <x:f>I31*'3_Giả định'!$D$18</x:f>
        <x:v>10702786.790614989</x:v>
      </x:c>
      <x:c r="J33" s="42" t="n">
        <x:f>J31*'3_Giả định'!$D$18</x:f>
        <x:v>11432778.849206967</x:v>
      </x:c>
      <x:c r="K33" s="42" t="n">
        <x:f>K31*'3_Giả định'!$D$18</x:f>
        <x:v>12093129.962163737</x:v>
      </x:c>
      <x:c r="L33" s="42" t="n">
        <x:f>L31*'3_Giả định'!$D$18</x:f>
        <x:v>12703931.785187408</x:v>
      </x:c>
      <x:c r="M33" s="42" t="n">
        <x:f>M31*'3_Giả định'!$D$18</x:f>
        <x:v>13280562.067131571</x:v>
      </x:c>
      <x:c r="N33" s="42" t="n">
        <x:f>N31*'3_Giả định'!$D$18</x:f>
        <x:v>13834819.44654159</x:v>
      </x:c>
      <x:c r="O33" s="42" t="n">
        <x:f>O31*'3_Giả định'!$D$18</x:f>
        <x:v>14375786.007709896</x:v>
      </x:c>
      <x:c r="P33" s="42" t="n">
        <x:f>P31*'3_Giả định'!$D$18</x:f>
        <x:v>14910482.937504634</x:v>
      </x:c>
      <x:c r="Q33" s="42" t="n">
        <x:f>Q31*'3_Giả định'!$D$18</x:f>
        <x:v>15444368.942441275</x:v>
      </x:c>
      <x:c r="R33" s="42" t="n">
        <x:f>R31*'3_Giả định'!$D$18</x:f>
        <x:v>15981719.167311132</x:v>
      </x:c>
      <x:c r="S33" s="42" t="n">
        <x:f>S31*'3_Giả định'!$D$18</x:f>
        <x:v>16525913.298886009</x:v>
      </x:c>
      <x:c r="T33" s="42" t="n">
        <x:f>T31*'3_Giả định'!$D$18</x:f>
        <x:v>17079654.65429826</x:v>
      </x:c>
      <x:c r="U33" s="42" t="n">
        <x:f>U31*'3_Giả định'!$D$18</x:f>
        <x:v>17645136.82192021</x:v>
      </x:c>
      <x:c r="V33" s="42" t="n">
        <x:f>V31*'3_Giả định'!$D$18</x:f>
        <x:v>18224170.4464218</x:v>
      </x:c>
      <x:c r="W33" s="42" t="n">
        <x:f>W31*'3_Giả định'!$D$18</x:f>
        <x:v>18818279.727819405</x:v>
      </x:c>
      <x:c r="X33" s="42" t="n">
        <x:f>X31*'3_Giả định'!$D$18</x:f>
        <x:v>19428775.907714833</x:v>
      </x:c>
      <x:c r="Y33" s="42" t="n">
        <x:f>Y31*'3_Giả định'!$D$18</x:f>
        <x:v>20056813.270501662</x:v>
      </x:c>
      <x:c r="Z33" s="42" t="n">
        <x:f>Z31*'3_Giả định'!$D$18</x:f>
        <x:v>20703431.860800076</x:v>
      </x:c>
    </x:row>
    <x:row r="34" ht="15" customHeight="1">
      <x:c r="A34" s="12" t="s">
        <x:v>79</x:v>
      </x:c>
      <x:c r="C34" s="42" t="n">
        <x:f t="shared" ref="C34:Z34" si="8">C32-C33</x:f>
        <x:v>14094061.228799999</x:v>
      </x:c>
      <x:c r="D34" s="42">
        <x:f t="shared" si="8"/>
        <x:v>0</x:v>
      </x:c>
      <x:c r="E34" s="42">
        <x:f t="shared" si="8"/>
        <x:v>0</x:v>
      </x:c>
      <x:c r="F34" s="42">
        <x:f t="shared" si="8"/>
        <x:v>0</x:v>
      </x:c>
      <x:c r="G34" s="42">
        <x:f t="shared" si="8"/>
        <x:v>0</x:v>
      </x:c>
      <x:c r="H34" s="42">
        <x:f t="shared" si="8"/>
        <x:v>0</x:v>
      </x:c>
      <x:c r="I34" s="42">
        <x:f t="shared" si="8"/>
        <x:v>0</x:v>
      </x:c>
      <x:c r="J34" s="42">
        <x:f t="shared" si="8"/>
        <x:v>0</x:v>
      </x:c>
      <x:c r="K34" s="42">
        <x:f t="shared" si="8"/>
        <x:v>0</x:v>
      </x:c>
      <x:c r="L34" s="42">
        <x:f t="shared" si="8"/>
        <x:v>0</x:v>
      </x:c>
      <x:c r="M34" s="42">
        <x:f t="shared" si="8"/>
        <x:v>0</x:v>
      </x:c>
      <x:c r="N34" s="42">
        <x:f t="shared" si="8"/>
        <x:v>0</x:v>
      </x:c>
      <x:c r="O34" s="42">
        <x:f t="shared" si="8"/>
        <x:v>0</x:v>
      </x:c>
      <x:c r="P34" s="42">
        <x:f t="shared" si="8"/>
        <x:v>0</x:v>
      </x:c>
      <x:c r="Q34" s="42">
        <x:f t="shared" si="8"/>
        <x:v>0</x:v>
      </x:c>
      <x:c r="R34" s="42">
        <x:f t="shared" si="8"/>
        <x:v>0</x:v>
      </x:c>
      <x:c r="S34" s="42">
        <x:f t="shared" si="8"/>
        <x:v>0</x:v>
      </x:c>
      <x:c r="T34" s="42">
        <x:f t="shared" si="8"/>
        <x:v>0</x:v>
      </x:c>
      <x:c r="U34" s="42">
        <x:f t="shared" si="8"/>
        <x:v>0</x:v>
      </x:c>
      <x:c r="V34" s="42">
        <x:f t="shared" si="8"/>
        <x:v>0</x:v>
      </x:c>
      <x:c r="W34" s="42">
        <x:f t="shared" si="8"/>
        <x:v>0</x:v>
      </x:c>
      <x:c r="X34" s="42">
        <x:f t="shared" si="8"/>
        <x:v>0</x:v>
      </x:c>
      <x:c r="Y34" s="42">
        <x:f t="shared" si="8"/>
        <x:v>0</x:v>
      </x:c>
      <x:c r="Z34" s="42">
        <x:f t="shared" si="8"/>
        <x:v>0</x:v>
      </x:c>
    </x:row>
    <x:row r="35" ht="15" customHeight="1">
      <x:c r="A35" s="12" t="s">
        <x:v>340</x:v>
      </x:c>
      <x:c r="C35" s="42" t="n">
        <x:f>C30*'3_Giả định'!$D$10</x:f>
        <x:v>157500000</x:v>
      </x:c>
      <x:c r="D35" s="42" t="n">
        <x:f>D30*'3_Giả định'!$D$10</x:f>
        <x:v>162540000</x:v>
      </x:c>
      <x:c r="E35" s="42" t="n">
        <x:f>E30*'3_Giả định'!$D$10</x:f>
        <x:v>167741280</x:v>
      </x:c>
      <x:c r="F35" s="42" t="n">
        <x:f>F30*'3_Giả định'!$D$10</x:f>
        <x:v>173109000.95999998</x:v>
      </x:c>
      <x:c r="G35" s="42" t="n">
        <x:f>G30*'3_Giả định'!$D$10</x:f>
        <x:v>178648488.99072</x:v>
      </x:c>
      <x:c r="H35" s="42" t="n">
        <x:f>H30*'3_Giả định'!$D$10</x:f>
        <x:v>184365240.63842306</x:v>
      </x:c>
      <x:c r="I35" s="42" t="n">
        <x:f>I30*'3_Giả định'!$D$10</x:f>
        <x:v>190264928.33885255</x:v>
      </x:c>
      <x:c r="J35" s="42" t="n">
        <x:f>J30*'3_Giả định'!$D$10</x:f>
        <x:v>196353406.0456958</x:v>
      </x:c>
      <x:c r="K35" s="42" t="n">
        <x:f>K30*'3_Giả định'!$D$10</x:f>
        <x:v>202636715.0391581</x:v>
      </x:c>
      <x:c r="L35" s="42" t="n">
        <x:f>L30*'3_Giả định'!$D$10</x:f>
        <x:v>209121089.9204112</x:v>
      </x:c>
      <x:c r="M35" s="42" t="n">
        <x:f>M30*'3_Giả định'!$D$10</x:f>
        <x:v>215812964.79786432</x:v>
      </x:c>
      <x:c r="N35" s="42" t="n">
        <x:f>N30*'3_Giả định'!$D$10</x:f>
        <x:v>222718979.671396</x:v>
      </x:c>
      <x:c r="O35" s="42" t="n">
        <x:f>O30*'3_Giả định'!$D$10</x:f>
        <x:v>229845987.02088067</x:v>
      </x:c>
      <x:c r="P35" s="42" t="n">
        <x:f>P30*'3_Giả định'!$D$10</x:f>
        <x:v>237201058.60554886</x:v>
      </x:c>
      <x:c r="Q35" s="42" t="n">
        <x:f>Q30*'3_Giả định'!$D$10</x:f>
        <x:v>244791492.48092636</x:v>
      </x:c>
      <x:c r="R35" s="42" t="n">
        <x:f>R30*'3_Giả định'!$D$10</x:f>
        <x:v>252624820.24031597</x:v>
      </x:c>
      <x:c r="S35" s="42" t="n">
        <x:f>S30*'3_Giả định'!$D$10</x:f>
        <x:v>260708814.48800614</x:v>
      </x:c>
      <x:c r="T35" s="42" t="n">
        <x:f>T30*'3_Giả định'!$D$10</x:f>
        <x:v>269051496.5516224</x:v>
      </x:c>
      <x:c r="U35" s="42" t="n">
        <x:f>U30*'3_Giả định'!$D$10</x:f>
        <x:v>277661144.4412742</x:v>
      </x:c>
      <x:c r="V35" s="42" t="n">
        <x:f>V30*'3_Giả định'!$D$10</x:f>
        <x:v>286546301.063395</x:v>
      </x:c>
      <x:c r="W35" s="42" t="n">
        <x:f>W30*'3_Giả định'!$D$10</x:f>
        <x:v>295715782.69742364</x:v>
      </x:c>
      <x:c r="X35" s="42" t="n">
        <x:f>X30*'3_Giả định'!$D$10</x:f>
        <x:v>305178687.7437413</x:v>
      </x:c>
      <x:c r="Y35" s="42" t="n">
        <x:f>Y30*'3_Giả định'!$D$10</x:f>
        <x:v>314944405.7515409</x:v>
      </x:c>
      <x:c r="Z35" s="42" t="n">
        <x:f>Z30*'3_Giả định'!$D$10</x:f>
        <x:v>325022626.7355902</x:v>
      </x:c>
    </x:row>
    <x:row r="36" ht="15" customHeight="1">
      <x:c r="A36" s="12" t="s">
        <x:v>341</x:v>
      </x:c>
      <x:c r="C36" s="42" t="n">
        <x:f>'3_Giả định'!$D$11</x:f>
        <x:v>120000000</x:v>
      </x:c>
      <x:c r="D36" s="42" t="n">
        <x:f>'3_Giả định'!$D$11</x:f>
        <x:v>120000000</x:v>
      </x:c>
      <x:c r="E36" s="42" t="n">
        <x:f>'3_Giả định'!$D$11</x:f>
        <x:v>120000000</x:v>
      </x:c>
      <x:c r="F36" s="42" t="n">
        <x:f>'3_Giả định'!$D$11</x:f>
        <x:v>120000000</x:v>
      </x:c>
      <x:c r="G36" s="42" t="n">
        <x:f>'3_Giả định'!$D$11</x:f>
        <x:v>120000000</x:v>
      </x:c>
      <x:c r="H36" s="42" t="n">
        <x:f>'3_Giả định'!$D$11</x:f>
        <x:v>120000000</x:v>
      </x:c>
      <x:c r="I36" s="42" t="n">
        <x:f>'3_Giả định'!$D$11</x:f>
        <x:v>120000000</x:v>
      </x:c>
      <x:c r="J36" s="42" t="n">
        <x:f>'3_Giả định'!$D$11</x:f>
        <x:v>120000000</x:v>
      </x:c>
      <x:c r="K36" s="42" t="n">
        <x:f>'3_Giả định'!$D$11</x:f>
        <x:v>120000000</x:v>
      </x:c>
      <x:c r="L36" s="42" t="n">
        <x:f>'3_Giả định'!$D$11</x:f>
        <x:v>120000000</x:v>
      </x:c>
      <x:c r="M36" s="42" t="n">
        <x:f>'3_Giả định'!$D$11</x:f>
        <x:v>120000000</x:v>
      </x:c>
      <x:c r="N36" s="42" t="n">
        <x:f>'3_Giả định'!$D$11</x:f>
        <x:v>120000000</x:v>
      </x:c>
      <x:c r="O36" s="42" t="n">
        <x:f>'3_Giả định'!$D$11</x:f>
        <x:v>120000000</x:v>
      </x:c>
      <x:c r="P36" s="42" t="n">
        <x:f>'3_Giả định'!$D$11</x:f>
        <x:v>120000000</x:v>
      </x:c>
      <x:c r="Q36" s="42" t="n">
        <x:f>'3_Giả định'!$D$11</x:f>
        <x:v>120000000</x:v>
      </x:c>
      <x:c r="R36" s="42" t="n">
        <x:f>'3_Giả định'!$D$11</x:f>
        <x:v>120000000</x:v>
      </x:c>
      <x:c r="S36" s="42" t="n">
        <x:f>'3_Giả định'!$D$11</x:f>
        <x:v>120000000</x:v>
      </x:c>
      <x:c r="T36" s="42" t="n">
        <x:f>'3_Giả định'!$D$11</x:f>
        <x:v>120000000</x:v>
      </x:c>
      <x:c r="U36" s="42" t="n">
        <x:f>'3_Giả định'!$D$11</x:f>
        <x:v>120000000</x:v>
      </x:c>
      <x:c r="V36" s="42" t="n">
        <x:f>'3_Giả định'!$D$11</x:f>
        <x:v>120000000</x:v>
      </x:c>
      <x:c r="W36" s="42" t="n">
        <x:f>'3_Giả định'!$D$11</x:f>
        <x:v>120000000</x:v>
      </x:c>
      <x:c r="X36" s="42" t="n">
        <x:f>'3_Giả định'!$D$11</x:f>
        <x:v>120000000</x:v>
      </x:c>
      <x:c r="Y36" s="42" t="n">
        <x:f>'3_Giả định'!$D$11</x:f>
        <x:v>120000000</x:v>
      </x:c>
      <x:c r="Z36" s="42" t="n">
        <x:f>'3_Giả định'!$D$11</x:f>
        <x:v>120000000</x:v>
      </x:c>
    </x:row>
    <x:row r="37" ht="15" customHeight="1">
      <x:c r="A37" s="12" t="s">
        <x:v>342</x:v>
      </x:c>
      <x:c r="B37" s="42" t="n">
        <x:f>-'3_Giả định'!$D$12</x:f>
        <x:v>-400000000</x:v>
      </x:c>
      <x:c r="C37" s="42" t="n">
        <x:f t="shared" ref="C37:Z37" si="9">C34-C35-C36</x:f>
        <x:v>-263405938.7712</x:v>
      </x:c>
      <x:c r="D37" s="42">
        <x:f t="shared" si="9"/>
        <x:v>0</x:v>
      </x:c>
      <x:c r="E37" s="42">
        <x:f t="shared" si="9"/>
        <x:v>0</x:v>
      </x:c>
      <x:c r="F37" s="42">
        <x:f t="shared" si="9"/>
        <x:v>0</x:v>
      </x:c>
      <x:c r="G37" s="42">
        <x:f t="shared" si="9"/>
        <x:v>0</x:v>
      </x:c>
      <x:c r="H37" s="42">
        <x:f t="shared" si="9"/>
        <x:v>0</x:v>
      </x:c>
      <x:c r="I37" s="42">
        <x:f t="shared" si="9"/>
        <x:v>0</x:v>
      </x:c>
      <x:c r="J37" s="42">
        <x:f t="shared" si="9"/>
        <x:v>0</x:v>
      </x:c>
      <x:c r="K37" s="42">
        <x:f t="shared" si="9"/>
        <x:v>0</x:v>
      </x:c>
      <x:c r="L37" s="42">
        <x:f t="shared" si="9"/>
        <x:v>0</x:v>
      </x:c>
      <x:c r="M37" s="42">
        <x:f t="shared" si="9"/>
        <x:v>0</x:v>
      </x:c>
      <x:c r="N37" s="42">
        <x:f t="shared" si="9"/>
        <x:v>0</x:v>
      </x:c>
      <x:c r="O37" s="42">
        <x:f t="shared" si="9"/>
        <x:v>0</x:v>
      </x:c>
      <x:c r="P37" s="42">
        <x:f t="shared" si="9"/>
        <x:v>0</x:v>
      </x:c>
      <x:c r="Q37" s="42">
        <x:f t="shared" si="9"/>
        <x:v>0</x:v>
      </x:c>
      <x:c r="R37" s="42">
        <x:f t="shared" si="9"/>
        <x:v>0</x:v>
      </x:c>
      <x:c r="S37" s="42">
        <x:f t="shared" si="9"/>
        <x:v>0</x:v>
      </x:c>
      <x:c r="T37" s="42">
        <x:f t="shared" si="9"/>
        <x:v>0</x:v>
      </x:c>
      <x:c r="U37" s="42">
        <x:f t="shared" si="9"/>
        <x:v>0</x:v>
      </x:c>
      <x:c r="V37" s="42">
        <x:f t="shared" si="9"/>
        <x:v>0</x:v>
      </x:c>
      <x:c r="W37" s="42">
        <x:f t="shared" si="9"/>
        <x:v>0</x:v>
      </x:c>
      <x:c r="X37" s="42">
        <x:f t="shared" si="9"/>
        <x:v>0</x:v>
      </x:c>
      <x:c r="Y37" s="42">
        <x:f t="shared" si="9"/>
        <x:v>0</x:v>
      </x:c>
      <x:c r="Z37" s="42">
        <x:f t="shared" si="9"/>
        <x:v>0</x:v>
      </x:c>
    </x:row>
    <x:row r="38" ht="15" customHeight="1">
      <x:c r="A38" s="12" t="s">
        <x:v>343</x:v>
      </x:c>
      <x:c r="B38" s="42" t="n">
        <x:f>'3_Giả định'!$D$13+B37</x:f>
        <x:v>1100000000</x:v>
      </x:c>
      <x:c r="C38" s="42" t="n">
        <x:f t="shared" ref="C38:Z38" si="10">B38+C37</x:f>
        <x:v>836594061.2288</x:v>
      </x:c>
      <x:c r="D38" s="42">
        <x:f t="shared" si="10"/>
        <x:v>0</x:v>
      </x:c>
      <x:c r="E38" s="42">
        <x:f t="shared" si="10"/>
        <x:v>0</x:v>
      </x:c>
      <x:c r="F38" s="42">
        <x:f t="shared" si="10"/>
        <x:v>0</x:v>
      </x:c>
      <x:c r="G38" s="42">
        <x:f t="shared" si="10"/>
        <x:v>0</x:v>
      </x:c>
      <x:c r="H38" s="42">
        <x:f t="shared" si="10"/>
        <x:v>0</x:v>
      </x:c>
      <x:c r="I38" s="42">
        <x:f t="shared" si="10"/>
        <x:v>0</x:v>
      </x:c>
      <x:c r="J38" s="42">
        <x:f t="shared" si="10"/>
        <x:v>0</x:v>
      </x:c>
      <x:c r="K38" s="42">
        <x:f t="shared" si="10"/>
        <x:v>0</x:v>
      </x:c>
      <x:c r="L38" s="42">
        <x:f t="shared" si="10"/>
        <x:v>0</x:v>
      </x:c>
      <x:c r="M38" s="42">
        <x:f t="shared" si="10"/>
        <x:v>0</x:v>
      </x:c>
      <x:c r="N38" s="42">
        <x:f t="shared" si="10"/>
        <x:v>0</x:v>
      </x:c>
      <x:c r="O38" s="42">
        <x:f t="shared" si="10"/>
        <x:v>0</x:v>
      </x:c>
      <x:c r="P38" s="42">
        <x:f t="shared" si="10"/>
        <x:v>0</x:v>
      </x:c>
      <x:c r="Q38" s="42">
        <x:f t="shared" si="10"/>
        <x:v>0</x:v>
      </x:c>
      <x:c r="R38" s="42">
        <x:f t="shared" si="10"/>
        <x:v>0</x:v>
      </x:c>
      <x:c r="S38" s="42">
        <x:f t="shared" si="10"/>
        <x:v>0</x:v>
      </x:c>
      <x:c r="T38" s="42">
        <x:f t="shared" si="10"/>
        <x:v>0</x:v>
      </x:c>
      <x:c r="U38" s="42">
        <x:f t="shared" si="10"/>
        <x:v>0</x:v>
      </x:c>
      <x:c r="V38" s="42">
        <x:f t="shared" si="10"/>
        <x:v>0</x:v>
      </x:c>
      <x:c r="W38" s="42">
        <x:f t="shared" si="10"/>
        <x:v>0</x:v>
      </x:c>
      <x:c r="X38" s="42">
        <x:f t="shared" si="10"/>
        <x:v>0</x:v>
      </x:c>
      <x:c r="Y38" s="42">
        <x:f t="shared" si="10"/>
        <x:v>0</x:v>
      </x:c>
      <x:c r="Z38" s="42">
        <x:f t="shared" si="10"/>
        <x:v>0</x:v>
      </x:c>
    </x:row>
    <x:row r="39" ht="15" customHeight="1">
      <x:c r="A39" s="12" t="s">
        <x:v>344</x:v>
      </x:c>
      <x:c r="B39" s="42" t="n">
        <x:f>B37</x:f>
        <x:v>-400000000</x:v>
      </x:c>
      <x:c r="C39" s="42" t="n">
        <x:f t="shared" ref="C39:Z39" si="11">B39+C37</x:f>
        <x:v>-663405938.7712</x:v>
      </x:c>
      <x:c r="D39" s="42">
        <x:f t="shared" si="11"/>
        <x:v>0</x:v>
      </x:c>
      <x:c r="E39" s="42">
        <x:f t="shared" si="11"/>
        <x:v>0</x:v>
      </x:c>
      <x:c r="F39" s="42">
        <x:f t="shared" si="11"/>
        <x:v>0</x:v>
      </x:c>
      <x:c r="G39" s="42">
        <x:f t="shared" si="11"/>
        <x:v>0</x:v>
      </x:c>
      <x:c r="H39" s="42">
        <x:f t="shared" si="11"/>
        <x:v>0</x:v>
      </x:c>
      <x:c r="I39" s="42">
        <x:f t="shared" si="11"/>
        <x:v>0</x:v>
      </x:c>
      <x:c r="J39" s="42">
        <x:f t="shared" si="11"/>
        <x:v>0</x:v>
      </x:c>
      <x:c r="K39" s="42">
        <x:f t="shared" si="11"/>
        <x:v>0</x:v>
      </x:c>
      <x:c r="L39" s="42">
        <x:f t="shared" si="11"/>
        <x:v>0</x:v>
      </x:c>
      <x:c r="M39" s="42">
        <x:f t="shared" si="11"/>
        <x:v>0</x:v>
      </x:c>
      <x:c r="N39" s="42">
        <x:f t="shared" si="11"/>
        <x:v>0</x:v>
      </x:c>
      <x:c r="O39" s="42">
        <x:f t="shared" si="11"/>
        <x:v>0</x:v>
      </x:c>
      <x:c r="P39" s="42">
        <x:f t="shared" si="11"/>
        <x:v>0</x:v>
      </x:c>
      <x:c r="Q39" s="42">
        <x:f t="shared" si="11"/>
        <x:v>0</x:v>
      </x:c>
      <x:c r="R39" s="42">
        <x:f t="shared" si="11"/>
        <x:v>0</x:v>
      </x:c>
      <x:c r="S39" s="42">
        <x:f t="shared" si="11"/>
        <x:v>0</x:v>
      </x:c>
      <x:c r="T39" s="42">
        <x:f t="shared" si="11"/>
        <x:v>0</x:v>
      </x:c>
      <x:c r="U39" s="42">
        <x:f t="shared" si="11"/>
        <x:v>0</x:v>
      </x:c>
      <x:c r="V39" s="42">
        <x:f t="shared" si="11"/>
        <x:v>0</x:v>
      </x:c>
      <x:c r="W39" s="42">
        <x:f t="shared" si="11"/>
        <x:v>0</x:v>
      </x:c>
      <x:c r="X39" s="42">
        <x:f t="shared" si="11"/>
        <x:v>0</x:v>
      </x:c>
      <x:c r="Y39" s="42">
        <x:f t="shared" si="11"/>
        <x:v>0</x:v>
      </x:c>
      <x:c r="Z39" s="42">
        <x:f t="shared" si="11"/>
        <x:v>0</x:v>
      </x:c>
    </x:row>
    <x:row r="42" ht="15" customHeight="1">
      <x:c r="A42" s="2" t="s">
        <x:v>347</x:v>
      </x:c>
    </x:row>
    <x:row r="43" ht="26.25" customHeight="1">
      <x:c r="A43" s="4" t="s">
        <x:v>296</x:v>
      </x:c>
      <x:c r="B43" s="4" t="s">
        <x:v>258</x:v>
      </x:c>
      <x:c r="C43" s="4" t="s">
        <x:v>259</x:v>
      </x:c>
      <x:c r="D43" s="4" t="s">
        <x:v>260</x:v>
      </x:c>
      <x:c r="E43" s="4" t="s">
        <x:v>297</x:v>
      </x:c>
    </x:row>
    <x:row r="44" ht="31.5" customHeight="1">
      <x:c r="A44" s="43" t="s">
        <x:v>348</x:v>
      </x:c>
      <x:c r="B44" s="23" t="n">
        <x:f>B13+NPV('3_Giả định'!$B$14/12,C13:Z13)</x:f>
        <x:v>-680211437.6334223</x:v>
      </x:c>
      <x:c r="C44" s="23" t="n">
        <x:f>B25+NPV('3_Giả định'!$C$14/12,C25:Z25)</x:f>
        <x:v>-688948047.36</x:v>
      </x:c>
      <x:c r="D44" s="23" t="n">
        <x:f>B37+NPV('3_Giả định'!$D$14/12,C37:Z37)</x:f>
        <x:v>-660154013.6011852</x:v>
      </x:c>
      <x:c r="E44" s="1" t="s">
        <x:v>349</x:v>
      </x:c>
    </x:row>
    <x:row r="45" ht="15" customHeight="1">
      <x:c r="A45" s="12" t="s">
        <x:v>350</x:v>
      </x:c>
      <x:c r="B45" s="19" t="str">
        <x:f>IFERROR((1+IRR(B13:Z13,0.01))^12-1,"Không tính được")</x:f>
        <x:v>Không tính được</x:v>
      </x:c>
      <x:c r="C45" s="19" t="str">
        <x:f>IFERROR((1+IRR(B25:Z25,0.01))^12-1,"Không tính được")</x:f>
        <x:v>Không tính được</x:v>
      </x:c>
      <x:c r="D45" s="19" t="str">
        <x:f>IFERROR((1+IRR(B37:Z37,0.01))^12-1,"Không tính được")</x:f>
        <x:v>Không tính được</x:v>
      </x:c>
      <x:c r="E45" s="1" t="s">
        <x:v>351</x:v>
      </x:c>
      <x:c r="F45" s="3" t="s">
        <x:v>352</x:v>
      </x:c>
    </x:row>
    <x:row r="46" ht="15" customHeight="1">
      <x:c r="A46" s="12" t="s">
        <x:v>353</x:v>
      </x:c>
      <x:c r="B46" s="23" t="n">
        <x:f>MIN(B14:Z14)</x:f>
        <x:v>0</x:v>
      </x:c>
      <x:c r="C46" s="23" t="n">
        <x:f>MIN(B26:Z26)</x:f>
        <x:v>0</x:v>
      </x:c>
      <x:c r="D46" s="23" t="n">
        <x:f>MIN(B38:Z38)</x:f>
        <x:v>0</x:v>
      </x:c>
      <x:c r="E46" s="1" t="s">
        <x:v>349</x:v>
      </x:c>
    </x:row>
    <x:row r="47" ht="15" customHeight="1">
      <x:c r="A47" s="12" t="s">
        <x:v>354</x:v>
      </x:c>
      <x:c r="B47" s="22" t="str">
        <x:f>IF('3_Giả định'!B7=0,"Chưa điền",IFERROR(MATCH(TRUE(),INDEX(C14:Z14&lt;0,0),0),"Không hết tiền trong 24 tháng"))</x:f>
        <x:v>Không hết tiền trong 24 tháng</x:v>
      </x:c>
      <x:c r="C47" s="22" t="str">
        <x:f>IF('3_Giả định'!C7=0,"Chưa điền",IFERROR(MATCH(TRUE(),INDEX(C26:Z26&lt;0,0),0),"Không hết tiền trong 24 tháng"))</x:f>
        <x:v>Không hết tiền trong 24 tháng</x:v>
      </x:c>
      <x:c r="D47" s="22" t="str">
        <x:f>IF('3_Giả định'!D7=0,"Chưa điền",IFERROR(MATCH(TRUE(),INDEX(C38:Z38&lt;0,0),0),"Không hết tiền trong 24 tháng"))</x:f>
        <x:v>Không hết tiền trong 24 tháng</x:v>
      </x:c>
      <x:c r="E47" s="1" t="s">
        <x:v>355</x:v>
      </x:c>
      <x:c r="F47" s="3" t="s">
        <x:v>356</x:v>
      </x:c>
    </x:row>
    <x:row r="48" ht="15" customHeight="1">
      <x:c r="A48" s="12" t="s">
        <x:v>357</x:v>
      </x:c>
      <x:c r="B48" s="22" t="str">
        <x:f>IF('3_Giả định'!B7=0,"Chưa điền",IFERROR(MATCH(TRUE(),INDEX(C15:Z15&gt;=0,0),0),"Chưa hoàn vốn trong 24 tháng"))</x:f>
        <x:v>Chưa hoàn vốn trong 24 tháng</x:v>
      </x:c>
      <x:c r="C48" s="22" t="str">
        <x:f>IF('3_Giả định'!C7=0,"Chưa điền",IFERROR(MATCH(TRUE(),INDEX(C27:Z27&gt;=0,0),0),"Chưa hoàn vốn trong 24 tháng"))</x:f>
        <x:v>Chưa hoàn vốn trong 24 tháng</x:v>
      </x:c>
      <x:c r="D48" s="22" t="str">
        <x:f>IF('3_Giả định'!D7=0,"Chưa điền",IFERROR(MATCH(TRUE(),INDEX(C39:Z39&gt;=0,0),0),"Chưa hoàn vốn trong 24 tháng"))</x:f>
        <x:v>Chưa hoàn vốn trong 24 tháng</x:v>
      </x:c>
      <x:c r="E48" s="1" t="s">
        <x:v>358</x:v>
      </x:c>
    </x:row>
    <x:row r="49" ht="15" customHeight="1">
      <x:c r="A49" s="12" t="s">
        <x:v>359</x:v>
      </x:c>
      <x:c r="B49" s="44" t="n">
        <x:f>Z7</x:f>
        <x:v>32026.615845453343</x:v>
      </x:c>
      <x:c r="C49" s="44" t="n">
        <x:f>Z19</x:f>
        <x:v>8244.714808391644</x:v>
      </x:c>
      <x:c r="D49" s="44" t="n">
        <x:f>Z31</x:f>
        <x:v>1173.691097058751</x:v>
      </x:c>
    </x:row>
    <x:row r="50" ht="15" customHeight="1">
      <x:c r="A50" s="12" t="s">
        <x:v>360</x:v>
      </x:c>
      <x:c r="B50" s="23" t="n">
        <x:f>Z8</x:f>
        <x:v>4914484201.484816</x:v>
      </x:c>
      <x:c r="C50" s="23" t="n">
        <x:f>Z20</x:f>
        <x:v>1150137715.7706342</x:v>
      </x:c>
      <x:c r="D50" s="23" t="n">
        <x:f>Z32</x:f>
        <x:v>130983926.43175662</x:v>
      </x:c>
    </x:row>
    <x:row r="53" ht="15" customHeight="1">
      <x:c r="A53" s="2" t="s">
        <x:v>361</x:v>
      </x:c>
    </x:row>
    <x:row r="54" ht="15" customHeight="1">
      <x:c r="A54" s="5" t="s">
        <x:v>362</x:v>
      </x:c>
      <x:c r="B54" s="45">
        <x:v>0.2</x:v>
      </x:c>
      <x:c r="C54" s="3" t="s">
        <x:v>363</x:v>
      </x:c>
    </x:row>
    <x:row r="56" ht="45" customHeight="1">
      <x:c r="A56" s="46" t="s">
        <x:v>364</x:v>
      </x:c>
      <x:c r="B56" s="47" t="s">
        <x:v>365</x:v>
      </x:c>
      <x:c r="C56" s="47" t="s">
        <x:v>366</x:v>
      </x:c>
      <x:c r="D56" s="47" t="s">
        <x:v>367</x:v>
      </x:c>
      <x:c r="E56" s="47" t="s">
        <x:v>368</x:v>
      </x:c>
      <x:c r="F56" s="47" t="s">
        <x:v>354</x:v>
      </x:c>
      <x:c r="G56" s="47" t="s">
        <x:v>369</x:v>
      </x:c>
      <x:c r="H56" s="47" t="s">
        <x:v>370</x:v>
      </x:c>
    </x:row>
    <x:row r="57" ht="27.75" customHeight="1">
      <x:c r="A57" s="15" t="s">
        <x:v>371</x:v>
      </x:c>
      <x:c r="B57" s="48" t="s">
        <x:v>372</x:v>
      </x:c>
      <x:c r="C57" s="48" t="s">
        <x:v>372</x:v>
      </x:c>
      <x:c r="D57" s="49" t="n">
        <x:f>(B94+NPV($K$80/12,C94:Z94))/1000000</x:f>
        <x:v>-688.94804736</x:v>
      </x:c>
      <x:c r="E57" s="48" t="s">
        <x:v>372</x:v>
      </x:c>
      <x:c r="F57" s="50" t="str">
        <x:f>IFERROR(MATCH(TRUE(),INDEX(C95:Z95&lt;0,0),0),"Không hết tiền trong 24 tháng")</x:f>
        <x:v>Không hết tiền trong 24 tháng</x:v>
      </x:c>
      <x:c r="G57" s="50" t="str">
        <x:f>IFERROR(MATCH(TRUE(),INDEX(C96:Z96&gt;=0,0),0),"Chưa hoàn vốn trong 24 tháng")</x:f>
        <x:v>Chưa hoàn vốn trong 24 tháng</x:v>
      </x:c>
    </x:row>
    <x:row r="58" ht="27.75" customHeight="1">
      <x:c r="A58" s="5" t="s">
        <x:v>373</x:v>
      </x:c>
      <x:c r="B58" s="49" t="n">
        <x:f>'3_Giả định'!$C$17</x:f>
        <x:v>139500</x:v>
      </x:c>
      <x:c r="C58" s="49" t="n">
        <x:f>B81</x:f>
        <x:v>111600</x:v>
      </x:c>
      <x:c r="D58" s="49" t="n">
        <x:f>(B100+NPV($K$81/12,C100:Z100))/1000000</x:f>
        <x:v>-697.2147140266667</x:v>
      </x:c>
      <x:c r="E58" s="49" t="n">
        <x:f t="shared" ref="E58:E64" si="12">D58-$D$57</x:f>
        <x:v>-8.266666666666652</x:v>
      </x:c>
      <x:c r="F58" s="50" t="str">
        <x:f>IFERROR(MATCH(TRUE(),INDEX(C101:Z101&lt;0,0),0),"Không hết tiền trong 24 tháng")</x:f>
        <x:v>Không hết tiền trong 24 tháng</x:v>
      </x:c>
      <x:c r="G58" s="50" t="str">
        <x:f>IFERROR(MATCH(TRUE(),INDEX(C102:Z102&gt;=0,0),0),"Chưa hoàn vốn trong 24 tháng")</x:f>
        <x:v>Chưa hoàn vốn trong 24 tháng</x:v>
      </x:c>
      <x:c r="H58" s="51" t="n">
        <x:f t="shared" ref="H58:H64" si="13">RANK(D58,$D$58:$D$64,1)</x:f>
        <x:v>3</x:v>
      </x:c>
    </x:row>
    <x:row r="59" ht="27.75" customHeight="1">
      <x:c r="A59" s="5" t="s">
        <x:v>374</x:v>
      </x:c>
      <x:c r="B59" s="49" t="n">
        <x:f>'3_Giả định'!$C$18</x:f>
        <x:v>14699.65984</x:v>
      </x:c>
      <x:c r="C59" s="49" t="n">
        <x:f>C82</x:f>
        <x:v>17639.591808</x:v>
      </x:c>
      <x:c r="D59" s="49" t="n">
        <x:f>(B106+NPV($K$82/12,C106:Z106))/1000000</x:f>
        <x:v>-689.8191383134815</x:v>
      </x:c>
      <x:c r="E59" s="49">
        <x:f t="shared" si="12"/>
        <x:v>0</x:v>
      </x:c>
      <x:c r="F59" s="50" t="str">
        <x:f>IFERROR(MATCH(TRUE(),INDEX(C107:Z107&lt;0,0),0),"Không hết tiền trong 24 tháng")</x:f>
        <x:v>Không hết tiền trong 24 tháng</x:v>
      </x:c>
      <x:c r="G59" s="50" t="str">
        <x:f>IFERROR(MATCH(TRUE(),INDEX(C108:Z108&gt;=0,0),0),"Chưa hoàn vốn trong 24 tháng")</x:f>
        <x:v>Chưa hoàn vốn trong 24 tháng</x:v>
      </x:c>
      <x:c r="H59" s="51">
        <x:f t="shared" si="13"/>
        <x:v>1</x:v>
      </x:c>
    </x:row>
    <x:row r="60" ht="27.75" customHeight="1">
      <x:c r="A60" s="5" t="s">
        <x:v>375</x:v>
      </x:c>
      <x:c r="B60" s="52" t="n">
        <x:f>'3_Giả định'!$C$9</x:f>
        <x:v>0.15</x:v>
      </x:c>
      <x:c r="C60" s="52" t="n">
        <x:f>F83</x:f>
        <x:v>0.18</x:v>
      </x:c>
      <x:c r="D60" s="49" t="n">
        <x:f>(B112+NPV($K$83/12,C112:Z112))/1000000</x:f>
        <x:v>-688.94804736</x:v>
      </x:c>
      <x:c r="E60" s="49">
        <x:f t="shared" si="12"/>
        <x:v>0</x:v>
      </x:c>
      <x:c r="F60" s="50" t="str">
        <x:f>IFERROR(MATCH(TRUE(),INDEX(C113:Z113&lt;0,0),0),"Không hết tiền trong 24 tháng")</x:f>
        <x:v>Không hết tiền trong 24 tháng</x:v>
      </x:c>
      <x:c r="G60" s="50" t="str">
        <x:f>IFERROR(MATCH(TRUE(),INDEX(C114:Z114&gt;=0,0),0),"Chưa hoàn vốn trong 24 tháng")</x:f>
        <x:v>Chưa hoàn vốn trong 24 tháng</x:v>
      </x:c>
      <x:c r="H60" s="51">
        <x:f t="shared" si="13"/>
        <x:v>1</x:v>
      </x:c>
    </x:row>
    <x:row r="61" ht="27.75" customHeight="1">
      <x:c r="A61" s="5" t="s">
        <x:v>376</x:v>
      </x:c>
      <x:c r="B61" s="49" t="n">
        <x:f>'3_Giả định'!$C$10</x:f>
        <x:v>700000</x:v>
      </x:c>
      <x:c r="C61" s="49" t="n">
        <x:f>G84</x:f>
        <x:v>840000</x:v>
      </x:c>
      <x:c r="D61" s="49" t="n">
        <x:f>(B118+NPV($K$84/12,C118:Z118))/1000000</x:f>
        <x:v>-730.4295288414814</x:v>
      </x:c>
      <x:c r="E61" s="49">
        <x:f t="shared" si="12"/>
        <x:v>0</x:v>
      </x:c>
      <x:c r="F61" s="50" t="str">
        <x:f>IFERROR(MATCH(TRUE(),INDEX(C119:Z119&lt;0,0),0),"Không hết tiền trong 24 tháng")</x:f>
        <x:v>Không hết tiền trong 24 tháng</x:v>
      </x:c>
      <x:c r="G61" s="50" t="str">
        <x:f>IFERROR(MATCH(TRUE(),INDEX(C120:Z120&gt;=0,0),0),"Chưa hoàn vốn trong 24 tháng")</x:f>
        <x:v>Chưa hoàn vốn trong 24 tháng</x:v>
      </x:c>
      <x:c r="H61" s="51">
        <x:f t="shared" si="13"/>
        <x:v>1</x:v>
      </x:c>
    </x:row>
    <x:row r="62" ht="27.75" customHeight="1">
      <x:c r="A62" s="5" t="s">
        <x:v>377</x:v>
      </x:c>
      <x:c r="B62" s="53" t="n">
        <x:f>'3_Giả định'!$C$7</x:f>
        <x:v>300</x:v>
      </x:c>
      <x:c r="C62" s="53" t="n">
        <x:f>D85</x:f>
        <x:v>240</x:v>
      </x:c>
      <x:c r="D62" s="49" t="n">
        <x:f>(B124+NPV($K$85/12,C124:Z124))/1000000</x:f>
        <x:v>-654.8621415917037</x:v>
      </x:c>
      <x:c r="E62" s="49">
        <x:f t="shared" si="12"/>
        <x:v>0</x:v>
      </x:c>
      <x:c r="F62" s="50" t="str">
        <x:f>IFERROR(MATCH(TRUE(),INDEX(C125:Z125&lt;0,0),0),"Không hết tiền trong 24 tháng")</x:f>
        <x:v>Không hết tiền trong 24 tháng</x:v>
      </x:c>
      <x:c r="G62" s="50" t="str">
        <x:f>IFERROR(MATCH(TRUE(),INDEX(C126:Z126&gt;=0,0),0),"Chưa hoàn vốn trong 24 tháng")</x:f>
        <x:v>Chưa hoàn vốn trong 24 tháng</x:v>
      </x:c>
      <x:c r="H62" s="51">
        <x:f t="shared" si="13"/>
        <x:v>1</x:v>
      </x:c>
    </x:row>
    <x:row r="63" ht="27.75" customHeight="1">
      <x:c r="A63" s="5" t="s">
        <x:v>378</x:v>
      </x:c>
      <x:c r="B63" s="52" t="n">
        <x:f>'3_Giả định'!$C$8</x:f>
        <x:v>0.08</x:v>
      </x:c>
      <x:c r="C63" s="52" t="n">
        <x:f>E86</x:f>
        <x:v>0.064</x:v>
      </x:c>
      <x:c r="D63" s="49" t="n">
        <x:f>(B130+NPV($K$86/12,C130:Z130))/1000000</x:f>
        <x:v>-688.94804736</x:v>
      </x:c>
      <x:c r="E63" s="49">
        <x:f t="shared" si="12"/>
        <x:v>0</x:v>
      </x:c>
      <x:c r="F63" s="50" t="str">
        <x:f>IFERROR(MATCH(TRUE(),INDEX(C131:Z131&lt;0,0),0),"Không hết tiền trong 24 tháng")</x:f>
        <x:v>Không hết tiền trong 24 tháng</x:v>
      </x:c>
      <x:c r="G63" s="50" t="str">
        <x:f>IFERROR(MATCH(TRUE(),INDEX(C132:Z132&gt;=0,0),0),"Chưa hoàn vốn trong 24 tháng")</x:f>
        <x:v>Chưa hoàn vốn trong 24 tháng</x:v>
      </x:c>
      <x:c r="H63" s="51">
        <x:f t="shared" si="13"/>
        <x:v>1</x:v>
      </x:c>
    </x:row>
    <x:row r="64" ht="27.75" customHeight="1">
      <x:c r="A64" s="5" t="s">
        <x:v>379</x:v>
      </x:c>
      <x:c r="B64" s="49" t="n">
        <x:f>'3_Giả định'!$C$11</x:f>
        <x:v>120000000</x:v>
      </x:c>
      <x:c r="C64" s="49" t="n">
        <x:f>H87</x:f>
        <x:v>144000000</x:v>
      </x:c>
      <x:c r="D64" s="49" t="n">
        <x:f>(B136+NPV($K$87/12,C136:Z136))/1000000</x:f>
        <x:v>-712.6517510637037</x:v>
      </x:c>
      <x:c r="E64" s="49">
        <x:f t="shared" si="12"/>
        <x:v>0</x:v>
      </x:c>
      <x:c r="F64" s="50" t="str">
        <x:f>IFERROR(MATCH(TRUE(),INDEX(C137:Z137&lt;0,0),0),"Không hết tiền trong 24 tháng")</x:f>
        <x:v>Không hết tiền trong 24 tháng</x:v>
      </x:c>
      <x:c r="G64" s="50" t="str">
        <x:f>IFERROR(MATCH(TRUE(),INDEX(C138:Z138&gt;=0,0),0),"Chưa hoàn vốn trong 24 tháng")</x:f>
        <x:v>Chưa hoàn vốn trong 24 tháng</x:v>
      </x:c>
      <x:c r="H64" s="51">
        <x:f t="shared" si="13"/>
        <x:v>1</x:v>
      </x:c>
    </x:row>
    <x:row r="66" ht="15" customHeight="1">
      <x:c r="A66" s="15" t="s">
        <x:v>380</x:v>
      </x:c>
      <x:c r="B66" s="54" t="str">
        <x:f>IF(MAX(D58:D64)-MIN(D58:D64)&lt;0.5,"Chưa đủ số liệu",INDEX(A58:A64,MATCH(MIN(D58:D64),D58:D64,0)))</x:f>
        <x:v>Chi phí có một khách tăng</x:v>
      </x:c>
    </x:row>
    <x:row r="68" ht="31.5" customHeight="1">
      <x:c r="A68" s="55" t="s">
        <x:v>381</x:v>
      </x:c>
      <x:c r="B68" s="48" t="s">
        <x:v>372</x:v>
      </x:c>
      <x:c r="C68" s="48" t="s">
        <x:v>372</x:v>
      </x:c>
      <x:c r="D68" s="49" t="n">
        <x:f>(B142+NPV($K$88/12,C142:Z142))/1000000</x:f>
        <x:v>-698.4459776</x:v>
      </x:c>
      <x:c r="E68" s="49" t="n">
        <x:f>D68-$D$57</x:f>
        <x:v>-9.49793023999996</x:v>
      </x:c>
      <x:c r="F68" s="50" t="str">
        <x:f>IFERROR(MATCH(TRUE(),INDEX(C143:Z143&lt;0,0),0),"Không hết tiền trong 24 tháng")</x:f>
        <x:v>Không hết tiền trong 24 tháng</x:v>
      </x:c>
      <x:c r="G68" s="50" t="str">
        <x:f>IFERROR(MATCH(TRUE(),INDEX(C144:Z144&gt;=0,0),0),"Chưa hoàn vốn trong 24 tháng")</x:f>
        <x:v>Chưa hoàn vốn trong 24 tháng</x:v>
      </x:c>
    </x:row>
    <x:row r="69" ht="15" customHeight="1">
      <x:c r="A69" s="3" t="s">
        <x:v>382</x:v>
      </x:c>
    </x:row>
    <x:row r="70" ht="15" customHeight="1">
      <x:c r="A70" s="2" t="s">
        <x:v>383</x:v>
      </x:c>
    </x:row>
    <x:row r="71" ht="45" customHeight="1">
      <x:c r="A71" s="4" t="s">
        <x:v>296</x:v>
      </x:c>
      <x:c r="B71" s="4" t="s">
        <x:v>384</x:v>
      </x:c>
      <x:c r="C71" s="4" t="s">
        <x:v>385</x:v>
      </x:c>
      <x:c r="D71" s="56" t="s">
        <x:v>386</x:v>
      </x:c>
      <x:c r="E71" s="57" t="s">
        <x:v>387</x:v>
      </x:c>
      <x:c r="F71" s="57"/>
      <x:c r="G71" s="57"/>
      <x:c r="H71" s="57"/>
    </x:row>
    <x:row r="72" ht="15" customHeight="1">
      <x:c r="A72" s="58" t="s">
        <x:v>388</x:v>
      </x:c>
      <x:c r="B72" s="59" t="n">
        <x:f>'3_Giả định'!C17</x:f>
        <x:v>139500</x:v>
      </x:c>
      <x:c r="C72" s="60" t="n">
        <x:f>IFERROR(B72*(1-$B$54*$D$57/($D$57-$D$58)),"")</x:f>
        <x:v>2464699.6598400045</x:v>
      </x:c>
      <x:c r="D72" s="61" t="n">
        <x:f>IFERROR(C72/B72-1,"")</x:f>
        <x:v>16.668097920000033</x:v>
      </x:c>
      <x:c r="E72" s="58" t="s">
        <x:v>389</x:v>
      </x:c>
      <x:c r="F72" s="58"/>
      <x:c r="G72" s="58"/>
      <x:c r="H72" s="58"/>
    </x:row>
    <x:row r="73" ht="15" customHeight="1">
      <x:c r="A73" s="58" t="s">
        <x:v>87</x:v>
      </x:c>
      <x:c r="B73" s="62" t="n">
        <x:f>'4_Chỉ số mỗi khách'!C7</x:f>
        <x:v>0.8946260943369175</x:v>
      </x:c>
      <x:c r="C73" s="63" t="n">
        <x:f>IFERROR(1-('3_Giả định'!C18*(1+$B$54*$D$57/($D$57-$D$59)))/'3_Giả định'!C17,"")</x:f>
        <x:v>17.56272401433686</x:v>
      </x:c>
      <x:c r="D73" s="62" t="n">
        <x:f>IFERROR(C73-B73,"")</x:f>
        <x:v>16.668097919999944</x:v>
      </x:c>
      <x:c r="E73" s="58" t="s">
        <x:v>390</x:v>
      </x:c>
      <x:c r="F73" s="58"/>
      <x:c r="G73" s="58"/>
      <x:c r="H73" s="58"/>
    </x:row>
    <x:row r="74" ht="15" customHeight="1">
      <x:c r="A74" s="58" t="s">
        <x:v>391</x:v>
      </x:c>
      <x:c r="B74" s="59" t="n">
        <x:f>'3_Giả định'!C10</x:f>
        <x:v>700000</x:v>
      </x:c>
      <x:c r="C74" s="60" t="n">
        <x:f>IFERROR(B74*(1+$B$54*$D$57/($D$57-$D$61)),"")</x:f>
        <x:v>-1625199.6598400043</x:v>
      </x:c>
      <x:c r="D74" s="61" t="n">
        <x:f>IFERROR(C74/B74-1,"")</x:f>
        <x:v>-3.3217137997714348</x:v>
      </x:c>
      <x:c r="E74" s="64" t="str">
        <x:f>IFERROR("Trên mức này là 'nguy'. Tương ứng LTV ÷ CAC = "&amp;ROUND('4_Chỉ số mỗi khách'!C9/C74,1)&amp;", không phải 3","")</x:f>
        <x:v>Trên mức này là 'nguy'. Tương ứng LTV ÷ CAC = -0.5, không phải 3</x:v>
      </x:c>
      <x:c r="F74" s="64"/>
      <x:c r="G74" s="64"/>
      <x:c r="H74" s="64"/>
    </x:row>
    <x:row r="75" ht="15" customHeight="1">
      <x:c r="A75" s="58" t="s">
        <x:v>392</x:v>
      </x:c>
      <x:c r="B75" s="65" t="n">
        <x:f>'3_Giả định'!C7</x:f>
        <x:v>300</x:v>
      </x:c>
      <x:c r="C75" s="66" t="n">
        <x:f>IFERROR(B75*(1-$B$54*$D$57/($D$57-$D$62)),"")</x:f>
        <x:v>-912.7265481103293</x:v>
      </x:c>
      <x:c r="D75" s="61" t="n">
        <x:f>IFERROR(C75/B75-1,"")</x:f>
        <x:v>-4.042421827034431</x:v>
      </x:c>
      <x:c r="E75" s="58" t="s">
        <x:v>393</x:v>
      </x:c>
      <x:c r="F75" s="58"/>
      <x:c r="G75" s="58"/>
      <x:c r="H75" s="58"/>
    </x:row>
    <x:row r="76" ht="15" customHeight="1">
      <x:c r="A76" s="58" t="s">
        <x:v>394</x:v>
      </x:c>
      <x:c r="B76" s="59" t="n">
        <x:f>'3_Giả định'!C11</x:f>
        <x:v>120000000</x:v>
      </x:c>
      <x:c r="C76" s="60" t="n">
        <x:f>IFERROR(B76*(1+$B$54*$D$57/($D$57-$D$64)),"")</x:f>
        <x:v>-577559897.9520004</x:v>
      </x:c>
      <x:c r="D76" s="61" t="n">
        <x:f>IFERROR(C76/B76-1,"")</x:f>
        <x:v>-5.812999149600003</x:v>
      </x:c>
      <x:c r="E76" s="58" t="s">
        <x:v>395</x:v>
      </x:c>
      <x:c r="F76" s="58"/>
      <x:c r="G76" s="58"/>
      <x:c r="H76" s="58"/>
    </x:row>
    <x:row r="77" ht="15" customHeight="1">
      <x:c r="A77" s="58" t="s">
        <x:v>396</x:v>
      </x:c>
      <x:c r="B77" s="62" t="n">
        <x:f>'2_Định giá'!B27</x:f>
        <x:v>0</x:v>
      </x:c>
      <x:c r="C77" s="63" t="n">
        <x:f>IFERROR(1-C72/('2_Định giá'!D17*'3_Giả định'!C5),"")</x:f>
        <x:v>-16.668097920000033</x:v>
      </x:c>
      <x:c r="D77" s="62" t="n">
        <x:f>IFERROR(C77-B77,"")</x:f>
        <x:v>-16.668097920000033</x:v>
      </x:c>
      <x:c r="E77" s="58" t="s">
        <x:v>397</x:v>
      </x:c>
      <x:c r="F77" s="58"/>
      <x:c r="G77" s="58"/>
      <x:c r="H77" s="58"/>
    </x:row>
    <x:row r="78" ht="15" customHeight="1">
      <x:c r="A78" s="67" t="s">
        <x:v>398</x:v>
      </x:c>
    </x:row>
    <x:row r="79" ht="15" hidden="1" customHeight="1">
      <x:c r="A79" s="67" t="s">
        <x:v>399</x:v>
      </x:c>
      <x:c r="B79" s="67" t="s">
        <x:v>400</x:v>
      </x:c>
      <x:c r="C79" s="67" t="s">
        <x:v>401</x:v>
      </x:c>
      <x:c r="D79" s="67" t="s">
        <x:v>402</x:v>
      </x:c>
      <x:c r="E79" s="67" t="s">
        <x:v>403</x:v>
      </x:c>
      <x:c r="F79" s="67" t="s">
        <x:v>404</x:v>
      </x:c>
      <x:c r="G79" s="67" t="s">
        <x:v>405</x:v>
      </x:c>
      <x:c r="H79" s="67" t="s">
        <x:v>341</x:v>
      </x:c>
      <x:c r="I79" s="67" t="s">
        <x:v>406</x:v>
      </x:c>
      <x:c r="J79" s="67" t="s">
        <x:v>407</x:v>
      </x:c>
      <x:c r="K79" s="67" t="s">
        <x:v>408</x:v>
      </x:c>
    </x:row>
    <x:row r="80" ht="15" hidden="1" customHeight="1">
      <x:c r="A80" s="67" t="s">
        <x:v>409</x:v>
      </x:c>
      <x:c r="B80" s="68" t="n">
        <x:f>'3_Giả định'!$C$17</x:f>
        <x:v>139500</x:v>
      </x:c>
      <x:c r="C80" s="68" t="n">
        <x:f>'3_Giả định'!$C$18</x:f>
        <x:v>14699.65984</x:v>
      </x:c>
      <x:c r="D80" s="69" t="n">
        <x:f>'3_Giả định'!$C$7</x:f>
        <x:v>300</x:v>
      </x:c>
      <x:c r="E80" s="70" t="n">
        <x:f>'3_Giả định'!$C$8</x:f>
        <x:v>0.08</x:v>
      </x:c>
      <x:c r="F80" s="70" t="n">
        <x:f>'3_Giả định'!$C$9</x:f>
        <x:v>0.15</x:v>
      </x:c>
      <x:c r="G80" s="68" t="n">
        <x:f>'3_Giả định'!$C$10</x:f>
        <x:v>700000</x:v>
      </x:c>
      <x:c r="H80" s="68" t="n">
        <x:f>'3_Giả định'!$C$11</x:f>
        <x:v>120000000</x:v>
      </x:c>
      <x:c r="I80" s="68" t="n">
        <x:f>'3_Giả định'!$C$12</x:f>
        <x:v>400000000</x:v>
      </x:c>
      <x:c r="J80" s="68" t="n">
        <x:f>'3_Giả định'!$C$13</x:f>
        <x:v>1500000000</x:v>
      </x:c>
      <x:c r="K80" s="70" t="n">
        <x:f>'3_Giả định'!$C$14</x:f>
        <x:v>0.15</x:v>
      </x:c>
    </x:row>
    <x:row r="81" ht="15" hidden="1" customHeight="1">
      <x:c r="A81" s="67" t="s">
        <x:v>410</x:v>
      </x:c>
      <x:c r="B81" s="68" t="n">
        <x:f>'3_Giả định'!$C$17*(1-$B$54)</x:f>
        <x:v>111600</x:v>
      </x:c>
      <x:c r="C81" s="68" t="n">
        <x:f>'3_Giả định'!$C$18</x:f>
        <x:v>14699.65984</x:v>
      </x:c>
      <x:c r="D81" s="69" t="n">
        <x:f>'3_Giả định'!$C$7</x:f>
        <x:v>300</x:v>
      </x:c>
      <x:c r="E81" s="70" t="n">
        <x:f>'3_Giả định'!$C$8</x:f>
        <x:v>0.08</x:v>
      </x:c>
      <x:c r="F81" s="70" t="n">
        <x:f>'3_Giả định'!$C$9</x:f>
        <x:v>0.15</x:v>
      </x:c>
      <x:c r="G81" s="68" t="n">
        <x:f>'3_Giả định'!$C$10</x:f>
        <x:v>700000</x:v>
      </x:c>
      <x:c r="H81" s="68" t="n">
        <x:f>'3_Giả định'!$C$11</x:f>
        <x:v>120000000</x:v>
      </x:c>
      <x:c r="I81" s="68" t="n">
        <x:f>'3_Giả định'!$C$12</x:f>
        <x:v>400000000</x:v>
      </x:c>
      <x:c r="J81" s="68" t="n">
        <x:f>'3_Giả định'!$C$13</x:f>
        <x:v>1500000000</x:v>
      </x:c>
      <x:c r="K81" s="70" t="n">
        <x:f>'3_Giả định'!$C$14</x:f>
        <x:v>0.15</x:v>
      </x:c>
    </x:row>
    <x:row r="82" ht="15" hidden="1" customHeight="1">
      <x:c r="A82" s="67" t="s">
        <x:v>411</x:v>
      </x:c>
      <x:c r="B82" s="68" t="n">
        <x:f>'3_Giả định'!$C$17</x:f>
        <x:v>139500</x:v>
      </x:c>
      <x:c r="C82" s="68" t="n">
        <x:f>'3_Giả định'!$C$18*(1+$B$54)</x:f>
        <x:v>17639.591808</x:v>
      </x:c>
      <x:c r="D82" s="69" t="n">
        <x:f>'3_Giả định'!$C$7</x:f>
        <x:v>300</x:v>
      </x:c>
      <x:c r="E82" s="70" t="n">
        <x:f>'3_Giả định'!$C$8</x:f>
        <x:v>0.08</x:v>
      </x:c>
      <x:c r="F82" s="70" t="n">
        <x:f>'3_Giả định'!$C$9</x:f>
        <x:v>0.15</x:v>
      </x:c>
      <x:c r="G82" s="68" t="n">
        <x:f>'3_Giả định'!$C$10</x:f>
        <x:v>700000</x:v>
      </x:c>
      <x:c r="H82" s="68" t="n">
        <x:f>'3_Giả định'!$C$11</x:f>
        <x:v>120000000</x:v>
      </x:c>
      <x:c r="I82" s="68" t="n">
        <x:f>'3_Giả định'!$C$12</x:f>
        <x:v>400000000</x:v>
      </x:c>
      <x:c r="J82" s="68" t="n">
        <x:f>'3_Giả định'!$C$13</x:f>
        <x:v>1500000000</x:v>
      </x:c>
      <x:c r="K82" s="70" t="n">
        <x:f>'3_Giả định'!$C$14</x:f>
        <x:v>0.15</x:v>
      </x:c>
    </x:row>
    <x:row r="83" ht="15" hidden="1" customHeight="1">
      <x:c r="A83" s="67" t="s">
        <x:v>412</x:v>
      </x:c>
      <x:c r="B83" s="68" t="n">
        <x:f>'3_Giả định'!$C$17</x:f>
        <x:v>139500</x:v>
      </x:c>
      <x:c r="C83" s="68" t="n">
        <x:f>'3_Giả định'!$C$18</x:f>
        <x:v>14699.65984</x:v>
      </x:c>
      <x:c r="D83" s="69" t="n">
        <x:f>'3_Giả định'!$C$7</x:f>
        <x:v>300</x:v>
      </x:c>
      <x:c r="E83" s="70" t="n">
        <x:f>'3_Giả định'!$C$8</x:f>
        <x:v>0.08</x:v>
      </x:c>
      <x:c r="F83" s="70" t="n">
        <x:f>'3_Giả định'!$C$9*(1+$B$54)</x:f>
        <x:v>0.18</x:v>
      </x:c>
      <x:c r="G83" s="68" t="n">
        <x:f>'3_Giả định'!$C$10</x:f>
        <x:v>700000</x:v>
      </x:c>
      <x:c r="H83" s="68" t="n">
        <x:f>'3_Giả định'!$C$11</x:f>
        <x:v>120000000</x:v>
      </x:c>
      <x:c r="I83" s="68" t="n">
        <x:f>'3_Giả định'!$C$12</x:f>
        <x:v>400000000</x:v>
      </x:c>
      <x:c r="J83" s="68" t="n">
        <x:f>'3_Giả định'!$C$13</x:f>
        <x:v>1500000000</x:v>
      </x:c>
      <x:c r="K83" s="70" t="n">
        <x:f>'3_Giả định'!$C$14</x:f>
        <x:v>0.15</x:v>
      </x:c>
    </x:row>
    <x:row r="84" ht="15" hidden="1" customHeight="1">
      <x:c r="A84" s="67" t="s">
        <x:v>413</x:v>
      </x:c>
      <x:c r="B84" s="68" t="n">
        <x:f>'3_Giả định'!$C$17</x:f>
        <x:v>139500</x:v>
      </x:c>
      <x:c r="C84" s="68" t="n">
        <x:f>'3_Giả định'!$C$18</x:f>
        <x:v>14699.65984</x:v>
      </x:c>
      <x:c r="D84" s="69" t="n">
        <x:f>'3_Giả định'!$C$7</x:f>
        <x:v>300</x:v>
      </x:c>
      <x:c r="E84" s="70" t="n">
        <x:f>'3_Giả định'!$C$8</x:f>
        <x:v>0.08</x:v>
      </x:c>
      <x:c r="F84" s="70" t="n">
        <x:f>'3_Giả định'!$C$9</x:f>
        <x:v>0.15</x:v>
      </x:c>
      <x:c r="G84" s="68" t="n">
        <x:f>'3_Giả định'!$C$10*(1+$B$54)</x:f>
        <x:v>840000</x:v>
      </x:c>
      <x:c r="H84" s="68" t="n">
        <x:f>'3_Giả định'!$C$11</x:f>
        <x:v>120000000</x:v>
      </x:c>
      <x:c r="I84" s="68" t="n">
        <x:f>'3_Giả định'!$C$12</x:f>
        <x:v>400000000</x:v>
      </x:c>
      <x:c r="J84" s="68" t="n">
        <x:f>'3_Giả định'!$C$13</x:f>
        <x:v>1500000000</x:v>
      </x:c>
      <x:c r="K84" s="70" t="n">
        <x:f>'3_Giả định'!$C$14</x:f>
        <x:v>0.15</x:v>
      </x:c>
    </x:row>
    <x:row r="85" ht="15" hidden="1" customHeight="1">
      <x:c r="A85" s="67" t="s">
        <x:v>414</x:v>
      </x:c>
      <x:c r="B85" s="68" t="n">
        <x:f>'3_Giả định'!$C$17</x:f>
        <x:v>139500</x:v>
      </x:c>
      <x:c r="C85" s="68" t="n">
        <x:f>'3_Giả định'!$C$18</x:f>
        <x:v>14699.65984</x:v>
      </x:c>
      <x:c r="D85" s="69" t="n">
        <x:f>'3_Giả định'!$C$7*(1-$B$54)</x:f>
        <x:v>240</x:v>
      </x:c>
      <x:c r="E85" s="70" t="n">
        <x:f>'3_Giả định'!$C$8</x:f>
        <x:v>0.08</x:v>
      </x:c>
      <x:c r="F85" s="70" t="n">
        <x:f>'3_Giả định'!$C$9</x:f>
        <x:v>0.15</x:v>
      </x:c>
      <x:c r="G85" s="68" t="n">
        <x:f>'3_Giả định'!$C$10</x:f>
        <x:v>700000</x:v>
      </x:c>
      <x:c r="H85" s="68" t="n">
        <x:f>'3_Giả định'!$C$11</x:f>
        <x:v>120000000</x:v>
      </x:c>
      <x:c r="I85" s="68" t="n">
        <x:f>'3_Giả định'!$C$12</x:f>
        <x:v>400000000</x:v>
      </x:c>
      <x:c r="J85" s="68" t="n">
        <x:f>'3_Giả định'!$C$13</x:f>
        <x:v>1500000000</x:v>
      </x:c>
      <x:c r="K85" s="70" t="n">
        <x:f>'3_Giả định'!$C$14</x:f>
        <x:v>0.15</x:v>
      </x:c>
    </x:row>
    <x:row r="86" ht="15" hidden="1" customHeight="1">
      <x:c r="A86" s="67" t="s">
        <x:v>415</x:v>
      </x:c>
      <x:c r="B86" s="68" t="n">
        <x:f>'3_Giả định'!$C$17</x:f>
        <x:v>139500</x:v>
      </x:c>
      <x:c r="C86" s="68" t="n">
        <x:f>'3_Giả định'!$C$18</x:f>
        <x:v>14699.65984</x:v>
      </x:c>
      <x:c r="D86" s="69" t="n">
        <x:f>'3_Giả định'!$C$7</x:f>
        <x:v>300</x:v>
      </x:c>
      <x:c r="E86" s="70" t="n">
        <x:f>'3_Giả định'!$C$8*(1-$B$54)</x:f>
        <x:v>0.064</x:v>
      </x:c>
      <x:c r="F86" s="70" t="n">
        <x:f>'3_Giả định'!$C$9</x:f>
        <x:v>0.15</x:v>
      </x:c>
      <x:c r="G86" s="68" t="n">
        <x:f>'3_Giả định'!$C$10</x:f>
        <x:v>700000</x:v>
      </x:c>
      <x:c r="H86" s="68" t="n">
        <x:f>'3_Giả định'!$C$11</x:f>
        <x:v>120000000</x:v>
      </x:c>
      <x:c r="I86" s="68" t="n">
        <x:f>'3_Giả định'!$C$12</x:f>
        <x:v>400000000</x:v>
      </x:c>
      <x:c r="J86" s="68" t="n">
        <x:f>'3_Giả định'!$C$13</x:f>
        <x:v>1500000000</x:v>
      </x:c>
      <x:c r="K86" s="70" t="n">
        <x:f>'3_Giả định'!$C$14</x:f>
        <x:v>0.15</x:v>
      </x:c>
    </x:row>
    <x:row r="87" ht="15" hidden="1" customHeight="1">
      <x:c r="A87" s="67" t="s">
        <x:v>416</x:v>
      </x:c>
      <x:c r="B87" s="68" t="n">
        <x:f>'3_Giả định'!$C$17</x:f>
        <x:v>139500</x:v>
      </x:c>
      <x:c r="C87" s="68" t="n">
        <x:f>'3_Giả định'!$C$18</x:f>
        <x:v>14699.65984</x:v>
      </x:c>
      <x:c r="D87" s="69" t="n">
        <x:f>'3_Giả định'!$C$7</x:f>
        <x:v>300</x:v>
      </x:c>
      <x:c r="E87" s="70" t="n">
        <x:f>'3_Giả định'!$C$8</x:f>
        <x:v>0.08</x:v>
      </x:c>
      <x:c r="F87" s="70" t="n">
        <x:f>'3_Giả định'!$C$9</x:f>
        <x:v>0.15</x:v>
      </x:c>
      <x:c r="G87" s="68" t="n">
        <x:f>'3_Giả định'!$C$10</x:f>
        <x:v>700000</x:v>
      </x:c>
      <x:c r="H87" s="68" t="n">
        <x:f>'3_Giả định'!$C$11*(1+$B$54)</x:f>
        <x:v>144000000</x:v>
      </x:c>
      <x:c r="I87" s="68" t="n">
        <x:f>'3_Giả định'!$C$12</x:f>
        <x:v>400000000</x:v>
      </x:c>
      <x:c r="J87" s="68" t="n">
        <x:f>'3_Giả định'!$C$13</x:f>
        <x:v>1500000000</x:v>
      </x:c>
      <x:c r="K87" s="70" t="n">
        <x:f>'3_Giả định'!$C$14</x:f>
        <x:v>0.15</x:v>
      </x:c>
    </x:row>
    <x:row r="88" ht="15" hidden="1" customHeight="1">
      <x:c r="A88" s="67" t="s">
        <x:v>417</x:v>
      </x:c>
      <x:c r="B88" s="68" t="n">
        <x:f>'2_Định giá'!$D$15*'3_Giả định'!$C$5*(1-'2_Định giá'!$B$27)</x:f>
        <x:v>99000</x:v>
      </x:c>
      <x:c r="C88" s="68" t="n">
        <x:f>'2_Định giá'!$E$15*'3_Giả định'!$C$6</x:f>
        <x:v>6255.1744</x:v>
      </x:c>
      <x:c r="D88" s="69" t="n">
        <x:f>'3_Giả định'!$C$7</x:f>
        <x:v>300</x:v>
      </x:c>
      <x:c r="E88" s="70" t="n">
        <x:f>'3_Giả định'!$C$8</x:f>
        <x:v>0.08</x:v>
      </x:c>
      <x:c r="F88" s="70" t="n">
        <x:f>'3_Giả định'!$C$9</x:f>
        <x:v>0.15</x:v>
      </x:c>
      <x:c r="G88" s="68" t="n">
        <x:f>'3_Giả định'!$C$10</x:f>
        <x:v>700000</x:v>
      </x:c>
      <x:c r="H88" s="68" t="n">
        <x:f>'3_Giả định'!$C$11</x:f>
        <x:v>120000000</x:v>
      </x:c>
      <x:c r="I88" s="68" t="n">
        <x:f>'3_Giả định'!$C$12</x:f>
        <x:v>400000000</x:v>
      </x:c>
      <x:c r="J88" s="68" t="n">
        <x:f>'3_Giả định'!$C$13</x:f>
        <x:v>1500000000</x:v>
      </x:c>
      <x:c r="K88" s="70" t="n">
        <x:f>'3_Giả định'!$C$14</x:f>
        <x:v>0.15</x:v>
      </x:c>
    </x:row>
    <x:row r="89" ht="15" hidden="1" customHeight="1"/>
    <x:row r="90" ht="15" hidden="1" customHeight="1"/>
    <x:row r="91" ht="15" hidden="1" customHeight="1"/>
    <x:row r="92" ht="15" hidden="1" customHeight="1">
      <x:c r="A92" s="67" t="s">
        <x:v>418</x:v>
      </x:c>
      <x:c r="C92" s="69" t="n">
        <x:f>$D$80*(1+$E$80)^0</x:f>
        <x:v>300</x:v>
      </x:c>
      <x:c r="D92" s="69" t="n">
        <x:f>$D$80*(1+$E$80)^1</x:f>
        <x:v>324</x:v>
      </x:c>
      <x:c r="E92" s="69" t="n">
        <x:f>$D$80*(1+$E$80)^2</x:f>
        <x:v>349.92</x:v>
      </x:c>
      <x:c r="F92" s="69" t="n">
        <x:f>$D$80*(1+$E$80)^3</x:f>
        <x:v>377.91360000000003</x:v>
      </x:c>
      <x:c r="G92" s="69" t="n">
        <x:f>$D$80*(1+$E$80)^4</x:f>
        <x:v>408.1466880000001</x:v>
      </x:c>
      <x:c r="H92" s="69" t="n">
        <x:f>$D$80*(1+$E$80)^5</x:f>
        <x:v>440.7984230400001</x:v>
      </x:c>
      <x:c r="I92" s="69" t="n">
        <x:f>$D$80*(1+$E$80)^6</x:f>
        <x:v>476.0622968832002</x:v>
      </x:c>
      <x:c r="J92" s="69" t="n">
        <x:f>$D$80*(1+$E$80)^7</x:f>
        <x:v>514.1472806338562</x:v>
      </x:c>
      <x:c r="K92" s="69" t="n">
        <x:f>$D$80*(1+$E$80)^8</x:f>
        <x:v>555.2790630845647</x:v>
      </x:c>
      <x:c r="L92" s="69" t="n">
        <x:f>$D$80*(1+$E$80)^9</x:f>
        <x:v>599.70138813133</x:v>
      </x:c>
      <x:c r="M92" s="69" t="n">
        <x:f>$D$80*(1+$E$80)^10</x:f>
        <x:v>647.6774991818363</x:v>
      </x:c>
      <x:c r="N92" s="69" t="n">
        <x:f>$D$80*(1+$E$80)^11</x:f>
        <x:v>699.4916991163832</x:v>
      </x:c>
      <x:c r="O92" s="69" t="n">
        <x:f>$D$80*(1+$E$80)^12</x:f>
        <x:v>755.451035045694</x:v>
      </x:c>
      <x:c r="P92" s="69" t="n">
        <x:f>$D$80*(1+$E$80)^13</x:f>
        <x:v>815.8871178493495</x:v>
      </x:c>
      <x:c r="Q92" s="69" t="n">
        <x:f>$D$80*(1+$E$80)^14</x:f>
        <x:v>881.1580872772976</x:v>
      </x:c>
      <x:c r="R92" s="69" t="n">
        <x:f>$D$80*(1+$E$80)^15</x:f>
        <x:v>951.6507342594815</x:v>
      </x:c>
      <x:c r="S92" s="69" t="n">
        <x:f>$D$80*(1+$E$80)^16</x:f>
        <x:v>1027.78279300024</x:v>
      </x:c>
      <x:c r="T92" s="69" t="n">
        <x:f>$D$80*(1+$E$80)^17</x:f>
        <x:v>1110.005416440259</x:v>
      </x:c>
      <x:c r="U92" s="69" t="n">
        <x:f>$D$80*(1+$E$80)^18</x:f>
        <x:v>1198.80584975548</x:v>
      </x:c>
      <x:c r="V92" s="69" t="n">
        <x:f>$D$80*(1+$E$80)^19</x:f>
        <x:v>1294.7103177359186</x:v>
      </x:c>
      <x:c r="W92" s="69" t="n">
        <x:f>$D$80*(1+$E$80)^20</x:f>
        <x:v>1398.287143154792</x:v>
      </x:c>
      <x:c r="X92" s="69" t="n">
        <x:f>$D$80*(1+$E$80)^21</x:f>
        <x:v>1510.1501146071753</x:v>
      </x:c>
      <x:c r="Y92" s="69" t="n">
        <x:f>$D$80*(1+$E$80)^22</x:f>
        <x:v>1630.9621237757497</x:v>
      </x:c>
      <x:c r="Z92" s="69" t="n">
        <x:f>$D$80*(1+$E$80)^23</x:f>
        <x:v>1761.4390936778095</x:v>
      </x:c>
    </x:row>
    <x:row r="93" ht="15" hidden="1" customHeight="1">
      <x:c r="A93" s="67" t="s">
        <x:v>419</x:v>
      </x:c>
      <x:c r="B93" s="67">
        <x:v>0</x:v>
      </x:c>
      <x:c r="C93" s="69" t="n">
        <x:f t="shared" ref="C93:Z93" si="14">B93*(1-$F$80)+C92</x:f>
        <x:v>300</x:v>
      </x:c>
      <x:c r="D93" s="69">
        <x:f t="shared" si="14"/>
        <x:v>0</x:v>
      </x:c>
      <x:c r="E93" s="69">
        <x:f t="shared" si="14"/>
        <x:v>0</x:v>
      </x:c>
      <x:c r="F93" s="69">
        <x:f t="shared" si="14"/>
        <x:v>0</x:v>
      </x:c>
      <x:c r="G93" s="69">
        <x:f t="shared" si="14"/>
        <x:v>0</x:v>
      </x:c>
      <x:c r="H93" s="69">
        <x:f t="shared" si="14"/>
        <x:v>0</x:v>
      </x:c>
      <x:c r="I93" s="69">
        <x:f t="shared" si="14"/>
        <x:v>0</x:v>
      </x:c>
      <x:c r="J93" s="69">
        <x:f t="shared" si="14"/>
        <x:v>0</x:v>
      </x:c>
      <x:c r="K93" s="69">
        <x:f t="shared" si="14"/>
        <x:v>0</x:v>
      </x:c>
      <x:c r="L93" s="69">
        <x:f t="shared" si="14"/>
        <x:v>0</x:v>
      </x:c>
      <x:c r="M93" s="69">
        <x:f t="shared" si="14"/>
        <x:v>0</x:v>
      </x:c>
      <x:c r="N93" s="69">
        <x:f t="shared" si="14"/>
        <x:v>0</x:v>
      </x:c>
      <x:c r="O93" s="69">
        <x:f t="shared" si="14"/>
        <x:v>0</x:v>
      </x:c>
      <x:c r="P93" s="69">
        <x:f t="shared" si="14"/>
        <x:v>0</x:v>
      </x:c>
      <x:c r="Q93" s="69">
        <x:f t="shared" si="14"/>
        <x:v>0</x:v>
      </x:c>
      <x:c r="R93" s="69">
        <x:f t="shared" si="14"/>
        <x:v>0</x:v>
      </x:c>
      <x:c r="S93" s="69">
        <x:f t="shared" si="14"/>
        <x:v>0</x:v>
      </x:c>
      <x:c r="T93" s="69">
        <x:f t="shared" si="14"/>
        <x:v>0</x:v>
      </x:c>
      <x:c r="U93" s="69">
        <x:f t="shared" si="14"/>
        <x:v>0</x:v>
      </x:c>
      <x:c r="V93" s="69">
        <x:f t="shared" si="14"/>
        <x:v>0</x:v>
      </x:c>
      <x:c r="W93" s="69">
        <x:f t="shared" si="14"/>
        <x:v>0</x:v>
      </x:c>
      <x:c r="X93" s="69">
        <x:f t="shared" si="14"/>
        <x:v>0</x:v>
      </x:c>
      <x:c r="Y93" s="69">
        <x:f t="shared" si="14"/>
        <x:v>0</x:v>
      </x:c>
      <x:c r="Z93" s="69">
        <x:f t="shared" si="14"/>
        <x:v>0</x:v>
      </x:c>
    </x:row>
    <x:row r="94" ht="15" hidden="1" customHeight="1">
      <x:c r="A94" s="67" t="s">
        <x:v>420</x:v>
      </x:c>
      <x:c r="B94" s="68" t="n">
        <x:f>-$I$80</x:f>
        <x:v>-400000000</x:v>
      </x:c>
      <x:c r="C94" s="68" t="n">
        <x:f t="shared" ref="C94:Z94" si="15">C93*($B$80-$C$80)-C92*$G$80-$H$80</x:f>
        <x:v>-292559897.952</x:v>
      </x:c>
      <x:c r="D94" s="68">
        <x:f t="shared" si="15"/>
        <x:v>0</x:v>
      </x:c>
      <x:c r="E94" s="68">
        <x:f t="shared" si="15"/>
        <x:v>0</x:v>
      </x:c>
      <x:c r="F94" s="68">
        <x:f t="shared" si="15"/>
        <x:v>0</x:v>
      </x:c>
      <x:c r="G94" s="68">
        <x:f t="shared" si="15"/>
        <x:v>0</x:v>
      </x:c>
      <x:c r="H94" s="68">
        <x:f t="shared" si="15"/>
        <x:v>0</x:v>
      </x:c>
      <x:c r="I94" s="68">
        <x:f t="shared" si="15"/>
        <x:v>0</x:v>
      </x:c>
      <x:c r="J94" s="68">
        <x:f t="shared" si="15"/>
        <x:v>0</x:v>
      </x:c>
      <x:c r="K94" s="68">
        <x:f t="shared" si="15"/>
        <x:v>0</x:v>
      </x:c>
      <x:c r="L94" s="68">
        <x:f t="shared" si="15"/>
        <x:v>0</x:v>
      </x:c>
      <x:c r="M94" s="68">
        <x:f t="shared" si="15"/>
        <x:v>0</x:v>
      </x:c>
      <x:c r="N94" s="68">
        <x:f t="shared" si="15"/>
        <x:v>0</x:v>
      </x:c>
      <x:c r="O94" s="68">
        <x:f t="shared" si="15"/>
        <x:v>0</x:v>
      </x:c>
      <x:c r="P94" s="68">
        <x:f t="shared" si="15"/>
        <x:v>0</x:v>
      </x:c>
      <x:c r="Q94" s="68">
        <x:f t="shared" si="15"/>
        <x:v>0</x:v>
      </x:c>
      <x:c r="R94" s="68">
        <x:f t="shared" si="15"/>
        <x:v>0</x:v>
      </x:c>
      <x:c r="S94" s="68">
        <x:f t="shared" si="15"/>
        <x:v>0</x:v>
      </x:c>
      <x:c r="T94" s="68">
        <x:f t="shared" si="15"/>
        <x:v>0</x:v>
      </x:c>
      <x:c r="U94" s="68">
        <x:f t="shared" si="15"/>
        <x:v>0</x:v>
      </x:c>
      <x:c r="V94" s="68">
        <x:f t="shared" si="15"/>
        <x:v>0</x:v>
      </x:c>
      <x:c r="W94" s="68">
        <x:f t="shared" si="15"/>
        <x:v>0</x:v>
      </x:c>
      <x:c r="X94" s="68">
        <x:f t="shared" si="15"/>
        <x:v>0</x:v>
      </x:c>
      <x:c r="Y94" s="68">
        <x:f t="shared" si="15"/>
        <x:v>0</x:v>
      </x:c>
      <x:c r="Z94" s="68">
        <x:f t="shared" si="15"/>
        <x:v>0</x:v>
      </x:c>
    </x:row>
    <x:row r="95" ht="15" hidden="1" customHeight="1">
      <x:c r="A95" s="67" t="s">
        <x:v>421</x:v>
      </x:c>
      <x:c r="B95" s="68" t="n">
        <x:f>$J$80+B94</x:f>
        <x:v>1100000000</x:v>
      </x:c>
      <x:c r="C95" s="68" t="n">
        <x:f t="shared" ref="C95:Z95" si="16">B95+C94</x:f>
        <x:v>807440102.048</x:v>
      </x:c>
      <x:c r="D95" s="68">
        <x:f t="shared" si="16"/>
        <x:v>0</x:v>
      </x:c>
      <x:c r="E95" s="68">
        <x:f t="shared" si="16"/>
        <x:v>0</x:v>
      </x:c>
      <x:c r="F95" s="68">
        <x:f t="shared" si="16"/>
        <x:v>0</x:v>
      </x:c>
      <x:c r="G95" s="68">
        <x:f t="shared" si="16"/>
        <x:v>0</x:v>
      </x:c>
      <x:c r="H95" s="68">
        <x:f t="shared" si="16"/>
        <x:v>0</x:v>
      </x:c>
      <x:c r="I95" s="68">
        <x:f t="shared" si="16"/>
        <x:v>0</x:v>
      </x:c>
      <x:c r="J95" s="68">
        <x:f t="shared" si="16"/>
        <x:v>0</x:v>
      </x:c>
      <x:c r="K95" s="68">
        <x:f t="shared" si="16"/>
        <x:v>0</x:v>
      </x:c>
      <x:c r="L95" s="68">
        <x:f t="shared" si="16"/>
        <x:v>0</x:v>
      </x:c>
      <x:c r="M95" s="68">
        <x:f t="shared" si="16"/>
        <x:v>0</x:v>
      </x:c>
      <x:c r="N95" s="68">
        <x:f t="shared" si="16"/>
        <x:v>0</x:v>
      </x:c>
      <x:c r="O95" s="68">
        <x:f t="shared" si="16"/>
        <x:v>0</x:v>
      </x:c>
      <x:c r="P95" s="68">
        <x:f t="shared" si="16"/>
        <x:v>0</x:v>
      </x:c>
      <x:c r="Q95" s="68">
        <x:f t="shared" si="16"/>
        <x:v>0</x:v>
      </x:c>
      <x:c r="R95" s="68">
        <x:f t="shared" si="16"/>
        <x:v>0</x:v>
      </x:c>
      <x:c r="S95" s="68">
        <x:f t="shared" si="16"/>
        <x:v>0</x:v>
      </x:c>
      <x:c r="T95" s="68">
        <x:f t="shared" si="16"/>
        <x:v>0</x:v>
      </x:c>
      <x:c r="U95" s="68">
        <x:f t="shared" si="16"/>
        <x:v>0</x:v>
      </x:c>
      <x:c r="V95" s="68">
        <x:f t="shared" si="16"/>
        <x:v>0</x:v>
      </x:c>
      <x:c r="W95" s="68">
        <x:f t="shared" si="16"/>
        <x:v>0</x:v>
      </x:c>
      <x:c r="X95" s="68">
        <x:f t="shared" si="16"/>
        <x:v>0</x:v>
      </x:c>
      <x:c r="Y95" s="68">
        <x:f t="shared" si="16"/>
        <x:v>0</x:v>
      </x:c>
      <x:c r="Z95" s="68">
        <x:f t="shared" si="16"/>
        <x:v>0</x:v>
      </x:c>
    </x:row>
    <x:row r="96" ht="15" hidden="1" customHeight="1">
      <x:c r="A96" s="67" t="s">
        <x:v>422</x:v>
      </x:c>
      <x:c r="B96" s="68" t="n">
        <x:f>B94</x:f>
        <x:v>-400000000</x:v>
      </x:c>
      <x:c r="C96" s="68" t="n">
        <x:f t="shared" ref="C96:Z96" si="17">B96+C94</x:f>
        <x:v>-692559897.952</x:v>
      </x:c>
      <x:c r="D96" s="68">
        <x:f t="shared" si="17"/>
        <x:v>0</x:v>
      </x:c>
      <x:c r="E96" s="68">
        <x:f t="shared" si="17"/>
        <x:v>0</x:v>
      </x:c>
      <x:c r="F96" s="68">
        <x:f t="shared" si="17"/>
        <x:v>0</x:v>
      </x:c>
      <x:c r="G96" s="68">
        <x:f t="shared" si="17"/>
        <x:v>0</x:v>
      </x:c>
      <x:c r="H96" s="68">
        <x:f t="shared" si="17"/>
        <x:v>0</x:v>
      </x:c>
      <x:c r="I96" s="68">
        <x:f t="shared" si="17"/>
        <x:v>0</x:v>
      </x:c>
      <x:c r="J96" s="68">
        <x:f t="shared" si="17"/>
        <x:v>0</x:v>
      </x:c>
      <x:c r="K96" s="68">
        <x:f t="shared" si="17"/>
        <x:v>0</x:v>
      </x:c>
      <x:c r="L96" s="68">
        <x:f t="shared" si="17"/>
        <x:v>0</x:v>
      </x:c>
      <x:c r="M96" s="68">
        <x:f t="shared" si="17"/>
        <x:v>0</x:v>
      </x:c>
      <x:c r="N96" s="68">
        <x:f t="shared" si="17"/>
        <x:v>0</x:v>
      </x:c>
      <x:c r="O96" s="68">
        <x:f t="shared" si="17"/>
        <x:v>0</x:v>
      </x:c>
      <x:c r="P96" s="68">
        <x:f t="shared" si="17"/>
        <x:v>0</x:v>
      </x:c>
      <x:c r="Q96" s="68">
        <x:f t="shared" si="17"/>
        <x:v>0</x:v>
      </x:c>
      <x:c r="R96" s="68">
        <x:f t="shared" si="17"/>
        <x:v>0</x:v>
      </x:c>
      <x:c r="S96" s="68">
        <x:f t="shared" si="17"/>
        <x:v>0</x:v>
      </x:c>
      <x:c r="T96" s="68">
        <x:f t="shared" si="17"/>
        <x:v>0</x:v>
      </x:c>
      <x:c r="U96" s="68">
        <x:f t="shared" si="17"/>
        <x:v>0</x:v>
      </x:c>
      <x:c r="V96" s="68">
        <x:f t="shared" si="17"/>
        <x:v>0</x:v>
      </x:c>
      <x:c r="W96" s="68">
        <x:f t="shared" si="17"/>
        <x:v>0</x:v>
      </x:c>
      <x:c r="X96" s="68">
        <x:f t="shared" si="17"/>
        <x:v>0</x:v>
      </x:c>
      <x:c r="Y96" s="68">
        <x:f t="shared" si="17"/>
        <x:v>0</x:v>
      </x:c>
      <x:c r="Z96" s="68">
        <x:f t="shared" si="17"/>
        <x:v>0</x:v>
      </x:c>
    </x:row>
    <x:row r="97" ht="15" hidden="1" customHeight="1"/>
    <x:row r="98" ht="15" hidden="1" customHeight="1">
      <x:c r="A98" s="67" t="s">
        <x:v>423</x:v>
      </x:c>
      <x:c r="C98" s="69" t="n">
        <x:f>$D$81*(1+$E$81)^0</x:f>
        <x:v>300</x:v>
      </x:c>
      <x:c r="D98" s="69" t="n">
        <x:f>$D$81*(1+$E$81)^1</x:f>
        <x:v>324</x:v>
      </x:c>
      <x:c r="E98" s="69" t="n">
        <x:f>$D$81*(1+$E$81)^2</x:f>
        <x:v>349.92</x:v>
      </x:c>
      <x:c r="F98" s="69" t="n">
        <x:f>$D$81*(1+$E$81)^3</x:f>
        <x:v>377.91360000000003</x:v>
      </x:c>
      <x:c r="G98" s="69" t="n">
        <x:f>$D$81*(1+$E$81)^4</x:f>
        <x:v>408.1466880000001</x:v>
      </x:c>
      <x:c r="H98" s="69" t="n">
        <x:f>$D$81*(1+$E$81)^5</x:f>
        <x:v>440.7984230400001</x:v>
      </x:c>
      <x:c r="I98" s="69" t="n">
        <x:f>$D$81*(1+$E$81)^6</x:f>
        <x:v>476.0622968832002</x:v>
      </x:c>
      <x:c r="J98" s="69" t="n">
        <x:f>$D$81*(1+$E$81)^7</x:f>
        <x:v>514.1472806338562</x:v>
      </x:c>
      <x:c r="K98" s="69" t="n">
        <x:f>$D$81*(1+$E$81)^8</x:f>
        <x:v>555.2790630845647</x:v>
      </x:c>
      <x:c r="L98" s="69" t="n">
        <x:f>$D$81*(1+$E$81)^9</x:f>
        <x:v>599.70138813133</x:v>
      </x:c>
      <x:c r="M98" s="69" t="n">
        <x:f>$D$81*(1+$E$81)^10</x:f>
        <x:v>647.6774991818363</x:v>
      </x:c>
      <x:c r="N98" s="69" t="n">
        <x:f>$D$81*(1+$E$81)^11</x:f>
        <x:v>699.4916991163832</x:v>
      </x:c>
      <x:c r="O98" s="69" t="n">
        <x:f>$D$81*(1+$E$81)^12</x:f>
        <x:v>755.451035045694</x:v>
      </x:c>
      <x:c r="P98" s="69" t="n">
        <x:f>$D$81*(1+$E$81)^13</x:f>
        <x:v>815.8871178493495</x:v>
      </x:c>
      <x:c r="Q98" s="69" t="n">
        <x:f>$D$81*(1+$E$81)^14</x:f>
        <x:v>881.1580872772976</x:v>
      </x:c>
      <x:c r="R98" s="69" t="n">
        <x:f>$D$81*(1+$E$81)^15</x:f>
        <x:v>951.6507342594815</x:v>
      </x:c>
      <x:c r="S98" s="69" t="n">
        <x:f>$D$81*(1+$E$81)^16</x:f>
        <x:v>1027.78279300024</x:v>
      </x:c>
      <x:c r="T98" s="69" t="n">
        <x:f>$D$81*(1+$E$81)^17</x:f>
        <x:v>1110.005416440259</x:v>
      </x:c>
      <x:c r="U98" s="69" t="n">
        <x:f>$D$81*(1+$E$81)^18</x:f>
        <x:v>1198.80584975548</x:v>
      </x:c>
      <x:c r="V98" s="69" t="n">
        <x:f>$D$81*(1+$E$81)^19</x:f>
        <x:v>1294.7103177359186</x:v>
      </x:c>
      <x:c r="W98" s="69" t="n">
        <x:f>$D$81*(1+$E$81)^20</x:f>
        <x:v>1398.287143154792</x:v>
      </x:c>
      <x:c r="X98" s="69" t="n">
        <x:f>$D$81*(1+$E$81)^21</x:f>
        <x:v>1510.1501146071753</x:v>
      </x:c>
      <x:c r="Y98" s="69" t="n">
        <x:f>$D$81*(1+$E$81)^22</x:f>
        <x:v>1630.9621237757497</x:v>
      </x:c>
      <x:c r="Z98" s="69" t="n">
        <x:f>$D$81*(1+$E$81)^23</x:f>
        <x:v>1761.4390936778095</x:v>
      </x:c>
    </x:row>
    <x:row r="99" ht="15" hidden="1" customHeight="1">
      <x:c r="A99" s="67" t="s">
        <x:v>424</x:v>
      </x:c>
      <x:c r="B99" s="67">
        <x:v>0</x:v>
      </x:c>
      <x:c r="C99" s="69" t="n">
        <x:f t="shared" ref="C99:Z99" si="18">B99*(1-$F$81)+C98</x:f>
        <x:v>300</x:v>
      </x:c>
      <x:c r="D99" s="69">
        <x:f t="shared" si="18"/>
        <x:v>0</x:v>
      </x:c>
      <x:c r="E99" s="69">
        <x:f t="shared" si="18"/>
        <x:v>0</x:v>
      </x:c>
      <x:c r="F99" s="69">
        <x:f t="shared" si="18"/>
        <x:v>0</x:v>
      </x:c>
      <x:c r="G99" s="69">
        <x:f t="shared" si="18"/>
        <x:v>0</x:v>
      </x:c>
      <x:c r="H99" s="69">
        <x:f t="shared" si="18"/>
        <x:v>0</x:v>
      </x:c>
      <x:c r="I99" s="69">
        <x:f t="shared" si="18"/>
        <x:v>0</x:v>
      </x:c>
      <x:c r="J99" s="69">
        <x:f t="shared" si="18"/>
        <x:v>0</x:v>
      </x:c>
      <x:c r="K99" s="69">
        <x:f t="shared" si="18"/>
        <x:v>0</x:v>
      </x:c>
      <x:c r="L99" s="69">
        <x:f t="shared" si="18"/>
        <x:v>0</x:v>
      </x:c>
      <x:c r="M99" s="69">
        <x:f t="shared" si="18"/>
        <x:v>0</x:v>
      </x:c>
      <x:c r="N99" s="69">
        <x:f t="shared" si="18"/>
        <x:v>0</x:v>
      </x:c>
      <x:c r="O99" s="69">
        <x:f t="shared" si="18"/>
        <x:v>0</x:v>
      </x:c>
      <x:c r="P99" s="69">
        <x:f t="shared" si="18"/>
        <x:v>0</x:v>
      </x:c>
      <x:c r="Q99" s="69">
        <x:f t="shared" si="18"/>
        <x:v>0</x:v>
      </x:c>
      <x:c r="R99" s="69">
        <x:f t="shared" si="18"/>
        <x:v>0</x:v>
      </x:c>
      <x:c r="S99" s="69">
        <x:f t="shared" si="18"/>
        <x:v>0</x:v>
      </x:c>
      <x:c r="T99" s="69">
        <x:f t="shared" si="18"/>
        <x:v>0</x:v>
      </x:c>
      <x:c r="U99" s="69">
        <x:f t="shared" si="18"/>
        <x:v>0</x:v>
      </x:c>
      <x:c r="V99" s="69">
        <x:f t="shared" si="18"/>
        <x:v>0</x:v>
      </x:c>
      <x:c r="W99" s="69">
        <x:f t="shared" si="18"/>
        <x:v>0</x:v>
      </x:c>
      <x:c r="X99" s="69">
        <x:f t="shared" si="18"/>
        <x:v>0</x:v>
      </x:c>
      <x:c r="Y99" s="69">
        <x:f t="shared" si="18"/>
        <x:v>0</x:v>
      </x:c>
      <x:c r="Z99" s="69">
        <x:f t="shared" si="18"/>
        <x:v>0</x:v>
      </x:c>
    </x:row>
    <x:row r="100" ht="15" hidden="1" customHeight="1">
      <x:c r="A100" s="67" t="s">
        <x:v>425</x:v>
      </x:c>
      <x:c r="B100" s="68" t="n">
        <x:f>-$I$81</x:f>
        <x:v>-400000000</x:v>
      </x:c>
      <x:c r="C100" s="68" t="n">
        <x:f t="shared" ref="C100:Z100" si="19">C99*($B$81-$C$81)-C98*$G$81-$H$81</x:f>
        <x:v>-300929897.952</x:v>
      </x:c>
      <x:c r="D100" s="68">
        <x:f t="shared" si="19"/>
        <x:v>0</x:v>
      </x:c>
      <x:c r="E100" s="68">
        <x:f t="shared" si="19"/>
        <x:v>0</x:v>
      </x:c>
      <x:c r="F100" s="68">
        <x:f t="shared" si="19"/>
        <x:v>0</x:v>
      </x:c>
      <x:c r="G100" s="68">
        <x:f t="shared" si="19"/>
        <x:v>0</x:v>
      </x:c>
      <x:c r="H100" s="68">
        <x:f t="shared" si="19"/>
        <x:v>0</x:v>
      </x:c>
      <x:c r="I100" s="68">
        <x:f t="shared" si="19"/>
        <x:v>0</x:v>
      </x:c>
      <x:c r="J100" s="68">
        <x:f t="shared" si="19"/>
        <x:v>0</x:v>
      </x:c>
      <x:c r="K100" s="68">
        <x:f t="shared" si="19"/>
        <x:v>0</x:v>
      </x:c>
      <x:c r="L100" s="68">
        <x:f t="shared" si="19"/>
        <x:v>0</x:v>
      </x:c>
      <x:c r="M100" s="68">
        <x:f t="shared" si="19"/>
        <x:v>0</x:v>
      </x:c>
      <x:c r="N100" s="68">
        <x:f t="shared" si="19"/>
        <x:v>0</x:v>
      </x:c>
      <x:c r="O100" s="68">
        <x:f t="shared" si="19"/>
        <x:v>0</x:v>
      </x:c>
      <x:c r="P100" s="68">
        <x:f t="shared" si="19"/>
        <x:v>0</x:v>
      </x:c>
      <x:c r="Q100" s="68">
        <x:f t="shared" si="19"/>
        <x:v>0</x:v>
      </x:c>
      <x:c r="R100" s="68">
        <x:f t="shared" si="19"/>
        <x:v>0</x:v>
      </x:c>
      <x:c r="S100" s="68">
        <x:f t="shared" si="19"/>
        <x:v>0</x:v>
      </x:c>
      <x:c r="T100" s="68">
        <x:f t="shared" si="19"/>
        <x:v>0</x:v>
      </x:c>
      <x:c r="U100" s="68">
        <x:f t="shared" si="19"/>
        <x:v>0</x:v>
      </x:c>
      <x:c r="V100" s="68">
        <x:f t="shared" si="19"/>
        <x:v>0</x:v>
      </x:c>
      <x:c r="W100" s="68">
        <x:f t="shared" si="19"/>
        <x:v>0</x:v>
      </x:c>
      <x:c r="X100" s="68">
        <x:f t="shared" si="19"/>
        <x:v>0</x:v>
      </x:c>
      <x:c r="Y100" s="68">
        <x:f t="shared" si="19"/>
        <x:v>0</x:v>
      </x:c>
      <x:c r="Z100" s="68">
        <x:f t="shared" si="19"/>
        <x:v>0</x:v>
      </x:c>
    </x:row>
    <x:row r="101" ht="15" hidden="1" customHeight="1">
      <x:c r="A101" s="67" t="s">
        <x:v>426</x:v>
      </x:c>
      <x:c r="B101" s="68" t="n">
        <x:f>$J$81+B100</x:f>
        <x:v>1100000000</x:v>
      </x:c>
      <x:c r="C101" s="68" t="n">
        <x:f t="shared" ref="C101:Z101" si="20">B101+C100</x:f>
        <x:v>799070102.048</x:v>
      </x:c>
      <x:c r="D101" s="68">
        <x:f t="shared" si="20"/>
        <x:v>0</x:v>
      </x:c>
      <x:c r="E101" s="68">
        <x:f t="shared" si="20"/>
        <x:v>0</x:v>
      </x:c>
      <x:c r="F101" s="68">
        <x:f t="shared" si="20"/>
        <x:v>0</x:v>
      </x:c>
      <x:c r="G101" s="68">
        <x:f t="shared" si="20"/>
        <x:v>0</x:v>
      </x:c>
      <x:c r="H101" s="68">
        <x:f t="shared" si="20"/>
        <x:v>0</x:v>
      </x:c>
      <x:c r="I101" s="68">
        <x:f t="shared" si="20"/>
        <x:v>0</x:v>
      </x:c>
      <x:c r="J101" s="68">
        <x:f t="shared" si="20"/>
        <x:v>0</x:v>
      </x:c>
      <x:c r="K101" s="68">
        <x:f t="shared" si="20"/>
        <x:v>0</x:v>
      </x:c>
      <x:c r="L101" s="68">
        <x:f t="shared" si="20"/>
        <x:v>0</x:v>
      </x:c>
      <x:c r="M101" s="68">
        <x:f t="shared" si="20"/>
        <x:v>0</x:v>
      </x:c>
      <x:c r="N101" s="68">
        <x:f t="shared" si="20"/>
        <x:v>0</x:v>
      </x:c>
      <x:c r="O101" s="68">
        <x:f t="shared" si="20"/>
        <x:v>0</x:v>
      </x:c>
      <x:c r="P101" s="68">
        <x:f t="shared" si="20"/>
        <x:v>0</x:v>
      </x:c>
      <x:c r="Q101" s="68">
        <x:f t="shared" si="20"/>
        <x:v>0</x:v>
      </x:c>
      <x:c r="R101" s="68">
        <x:f t="shared" si="20"/>
        <x:v>0</x:v>
      </x:c>
      <x:c r="S101" s="68">
        <x:f t="shared" si="20"/>
        <x:v>0</x:v>
      </x:c>
      <x:c r="T101" s="68">
        <x:f t="shared" si="20"/>
        <x:v>0</x:v>
      </x:c>
      <x:c r="U101" s="68">
        <x:f t="shared" si="20"/>
        <x:v>0</x:v>
      </x:c>
      <x:c r="V101" s="68">
        <x:f t="shared" si="20"/>
        <x:v>0</x:v>
      </x:c>
      <x:c r="W101" s="68">
        <x:f t="shared" si="20"/>
        <x:v>0</x:v>
      </x:c>
      <x:c r="X101" s="68">
        <x:f t="shared" si="20"/>
        <x:v>0</x:v>
      </x:c>
      <x:c r="Y101" s="68">
        <x:f t="shared" si="20"/>
        <x:v>0</x:v>
      </x:c>
      <x:c r="Z101" s="68">
        <x:f t="shared" si="20"/>
        <x:v>0</x:v>
      </x:c>
    </x:row>
    <x:row r="102" ht="15" hidden="1" customHeight="1">
      <x:c r="A102" s="67" t="s">
        <x:v>427</x:v>
      </x:c>
      <x:c r="B102" s="68" t="n">
        <x:f>B100</x:f>
        <x:v>-400000000</x:v>
      </x:c>
      <x:c r="C102" s="68" t="n">
        <x:f t="shared" ref="C102:Z102" si="21">B102+C100</x:f>
        <x:v>-700929897.952</x:v>
      </x:c>
      <x:c r="D102" s="68">
        <x:f t="shared" si="21"/>
        <x:v>0</x:v>
      </x:c>
      <x:c r="E102" s="68">
        <x:f t="shared" si="21"/>
        <x:v>0</x:v>
      </x:c>
      <x:c r="F102" s="68">
        <x:f t="shared" si="21"/>
        <x:v>0</x:v>
      </x:c>
      <x:c r="G102" s="68">
        <x:f t="shared" si="21"/>
        <x:v>0</x:v>
      </x:c>
      <x:c r="H102" s="68">
        <x:f t="shared" si="21"/>
        <x:v>0</x:v>
      </x:c>
      <x:c r="I102" s="68">
        <x:f t="shared" si="21"/>
        <x:v>0</x:v>
      </x:c>
      <x:c r="J102" s="68">
        <x:f t="shared" si="21"/>
        <x:v>0</x:v>
      </x:c>
      <x:c r="K102" s="68">
        <x:f t="shared" si="21"/>
        <x:v>0</x:v>
      </x:c>
      <x:c r="L102" s="68">
        <x:f t="shared" si="21"/>
        <x:v>0</x:v>
      </x:c>
      <x:c r="M102" s="68">
        <x:f t="shared" si="21"/>
        <x:v>0</x:v>
      </x:c>
      <x:c r="N102" s="68">
        <x:f t="shared" si="21"/>
        <x:v>0</x:v>
      </x:c>
      <x:c r="O102" s="68">
        <x:f t="shared" si="21"/>
        <x:v>0</x:v>
      </x:c>
      <x:c r="P102" s="68">
        <x:f t="shared" si="21"/>
        <x:v>0</x:v>
      </x:c>
      <x:c r="Q102" s="68">
        <x:f t="shared" si="21"/>
        <x:v>0</x:v>
      </x:c>
      <x:c r="R102" s="68">
        <x:f t="shared" si="21"/>
        <x:v>0</x:v>
      </x:c>
      <x:c r="S102" s="68">
        <x:f t="shared" si="21"/>
        <x:v>0</x:v>
      </x:c>
      <x:c r="T102" s="68">
        <x:f t="shared" si="21"/>
        <x:v>0</x:v>
      </x:c>
      <x:c r="U102" s="68">
        <x:f t="shared" si="21"/>
        <x:v>0</x:v>
      </x:c>
      <x:c r="V102" s="68">
        <x:f t="shared" si="21"/>
        <x:v>0</x:v>
      </x:c>
      <x:c r="W102" s="68">
        <x:f t="shared" si="21"/>
        <x:v>0</x:v>
      </x:c>
      <x:c r="X102" s="68">
        <x:f t="shared" si="21"/>
        <x:v>0</x:v>
      </x:c>
      <x:c r="Y102" s="68">
        <x:f t="shared" si="21"/>
        <x:v>0</x:v>
      </x:c>
      <x:c r="Z102" s="68">
        <x:f t="shared" si="21"/>
        <x:v>0</x:v>
      </x:c>
    </x:row>
    <x:row r="103" ht="15" hidden="1" customHeight="1"/>
    <x:row r="104" ht="15" hidden="1" customHeight="1">
      <x:c r="A104" s="67" t="s">
        <x:v>428</x:v>
      </x:c>
      <x:c r="C104" s="69" t="n">
        <x:f>$D$82*(1+$E$82)^0</x:f>
        <x:v>300</x:v>
      </x:c>
      <x:c r="D104" s="69" t="n">
        <x:f>$D$82*(1+$E$82)^1</x:f>
        <x:v>324</x:v>
      </x:c>
      <x:c r="E104" s="69" t="n">
        <x:f>$D$82*(1+$E$82)^2</x:f>
        <x:v>349.92</x:v>
      </x:c>
      <x:c r="F104" s="69" t="n">
        <x:f>$D$82*(1+$E$82)^3</x:f>
        <x:v>377.91360000000003</x:v>
      </x:c>
      <x:c r="G104" s="69" t="n">
        <x:f>$D$82*(1+$E$82)^4</x:f>
        <x:v>408.1466880000001</x:v>
      </x:c>
      <x:c r="H104" s="69" t="n">
        <x:f>$D$82*(1+$E$82)^5</x:f>
        <x:v>440.7984230400001</x:v>
      </x:c>
      <x:c r="I104" s="69" t="n">
        <x:f>$D$82*(1+$E$82)^6</x:f>
        <x:v>476.0622968832002</x:v>
      </x:c>
      <x:c r="J104" s="69" t="n">
        <x:f>$D$82*(1+$E$82)^7</x:f>
        <x:v>514.1472806338562</x:v>
      </x:c>
      <x:c r="K104" s="69" t="n">
        <x:f>$D$82*(1+$E$82)^8</x:f>
        <x:v>555.2790630845647</x:v>
      </x:c>
      <x:c r="L104" s="69" t="n">
        <x:f>$D$82*(1+$E$82)^9</x:f>
        <x:v>599.70138813133</x:v>
      </x:c>
      <x:c r="M104" s="69" t="n">
        <x:f>$D$82*(1+$E$82)^10</x:f>
        <x:v>647.6774991818363</x:v>
      </x:c>
      <x:c r="N104" s="69" t="n">
        <x:f>$D$82*(1+$E$82)^11</x:f>
        <x:v>699.4916991163832</x:v>
      </x:c>
      <x:c r="O104" s="69" t="n">
        <x:f>$D$82*(1+$E$82)^12</x:f>
        <x:v>755.451035045694</x:v>
      </x:c>
      <x:c r="P104" s="69" t="n">
        <x:f>$D$82*(1+$E$82)^13</x:f>
        <x:v>815.8871178493495</x:v>
      </x:c>
      <x:c r="Q104" s="69" t="n">
        <x:f>$D$82*(1+$E$82)^14</x:f>
        <x:v>881.1580872772976</x:v>
      </x:c>
      <x:c r="R104" s="69" t="n">
        <x:f>$D$82*(1+$E$82)^15</x:f>
        <x:v>951.6507342594815</x:v>
      </x:c>
      <x:c r="S104" s="69" t="n">
        <x:f>$D$82*(1+$E$82)^16</x:f>
        <x:v>1027.78279300024</x:v>
      </x:c>
      <x:c r="T104" s="69" t="n">
        <x:f>$D$82*(1+$E$82)^17</x:f>
        <x:v>1110.005416440259</x:v>
      </x:c>
      <x:c r="U104" s="69" t="n">
        <x:f>$D$82*(1+$E$82)^18</x:f>
        <x:v>1198.80584975548</x:v>
      </x:c>
      <x:c r="V104" s="69" t="n">
        <x:f>$D$82*(1+$E$82)^19</x:f>
        <x:v>1294.7103177359186</x:v>
      </x:c>
      <x:c r="W104" s="69" t="n">
        <x:f>$D$82*(1+$E$82)^20</x:f>
        <x:v>1398.287143154792</x:v>
      </x:c>
      <x:c r="X104" s="69" t="n">
        <x:f>$D$82*(1+$E$82)^21</x:f>
        <x:v>1510.1501146071753</x:v>
      </x:c>
      <x:c r="Y104" s="69" t="n">
        <x:f>$D$82*(1+$E$82)^22</x:f>
        <x:v>1630.9621237757497</x:v>
      </x:c>
      <x:c r="Z104" s="69" t="n">
        <x:f>$D$82*(1+$E$82)^23</x:f>
        <x:v>1761.4390936778095</x:v>
      </x:c>
    </x:row>
    <x:row r="105" ht="15" hidden="1" customHeight="1">
      <x:c r="A105" s="67" t="s">
        <x:v>429</x:v>
      </x:c>
      <x:c r="B105" s="67">
        <x:v>0</x:v>
      </x:c>
      <x:c r="C105" s="69" t="n">
        <x:f t="shared" ref="C105:Z105" si="22">B105*(1-$F$82)+C104</x:f>
        <x:v>300</x:v>
      </x:c>
      <x:c r="D105" s="69">
        <x:f t="shared" si="22"/>
        <x:v>0</x:v>
      </x:c>
      <x:c r="E105" s="69">
        <x:f t="shared" si="22"/>
        <x:v>0</x:v>
      </x:c>
      <x:c r="F105" s="69">
        <x:f t="shared" si="22"/>
        <x:v>0</x:v>
      </x:c>
      <x:c r="G105" s="69">
        <x:f t="shared" si="22"/>
        <x:v>0</x:v>
      </x:c>
      <x:c r="H105" s="69">
        <x:f t="shared" si="22"/>
        <x:v>0</x:v>
      </x:c>
      <x:c r="I105" s="69">
        <x:f t="shared" si="22"/>
        <x:v>0</x:v>
      </x:c>
      <x:c r="J105" s="69">
        <x:f t="shared" si="22"/>
        <x:v>0</x:v>
      </x:c>
      <x:c r="K105" s="69">
        <x:f t="shared" si="22"/>
        <x:v>0</x:v>
      </x:c>
      <x:c r="L105" s="69">
        <x:f t="shared" si="22"/>
        <x:v>0</x:v>
      </x:c>
      <x:c r="M105" s="69">
        <x:f t="shared" si="22"/>
        <x:v>0</x:v>
      </x:c>
      <x:c r="N105" s="69">
        <x:f t="shared" si="22"/>
        <x:v>0</x:v>
      </x:c>
      <x:c r="O105" s="69">
        <x:f t="shared" si="22"/>
        <x:v>0</x:v>
      </x:c>
      <x:c r="P105" s="69">
        <x:f t="shared" si="22"/>
        <x:v>0</x:v>
      </x:c>
      <x:c r="Q105" s="69">
        <x:f t="shared" si="22"/>
        <x:v>0</x:v>
      </x:c>
      <x:c r="R105" s="69">
        <x:f t="shared" si="22"/>
        <x:v>0</x:v>
      </x:c>
      <x:c r="S105" s="69">
        <x:f t="shared" si="22"/>
        <x:v>0</x:v>
      </x:c>
      <x:c r="T105" s="69">
        <x:f t="shared" si="22"/>
        <x:v>0</x:v>
      </x:c>
      <x:c r="U105" s="69">
        <x:f t="shared" si="22"/>
        <x:v>0</x:v>
      </x:c>
      <x:c r="V105" s="69">
        <x:f t="shared" si="22"/>
        <x:v>0</x:v>
      </x:c>
      <x:c r="W105" s="69">
        <x:f t="shared" si="22"/>
        <x:v>0</x:v>
      </x:c>
      <x:c r="X105" s="69">
        <x:f t="shared" si="22"/>
        <x:v>0</x:v>
      </x:c>
      <x:c r="Y105" s="69">
        <x:f t="shared" si="22"/>
        <x:v>0</x:v>
      </x:c>
      <x:c r="Z105" s="69">
        <x:f t="shared" si="22"/>
        <x:v>0</x:v>
      </x:c>
    </x:row>
    <x:row r="106" ht="15" hidden="1" customHeight="1">
      <x:c r="A106" s="67" t="s">
        <x:v>430</x:v>
      </x:c>
      <x:c r="B106" s="68" t="n">
        <x:f>-$I$82</x:f>
        <x:v>-400000000</x:v>
      </x:c>
      <x:c r="C106" s="68" t="n">
        <x:f t="shared" ref="C106:Z106" si="23">C105*($B$82-$C$82)-C104*$G$82-$H$82</x:f>
        <x:v>-293441877.5424</x:v>
      </x:c>
      <x:c r="D106" s="68">
        <x:f t="shared" si="23"/>
        <x:v>0</x:v>
      </x:c>
      <x:c r="E106" s="68">
        <x:f t="shared" si="23"/>
        <x:v>0</x:v>
      </x:c>
      <x:c r="F106" s="68">
        <x:f t="shared" si="23"/>
        <x:v>0</x:v>
      </x:c>
      <x:c r="G106" s="68">
        <x:f t="shared" si="23"/>
        <x:v>0</x:v>
      </x:c>
      <x:c r="H106" s="68">
        <x:f t="shared" si="23"/>
        <x:v>0</x:v>
      </x:c>
      <x:c r="I106" s="68">
        <x:f t="shared" si="23"/>
        <x:v>0</x:v>
      </x:c>
      <x:c r="J106" s="68">
        <x:f t="shared" si="23"/>
        <x:v>0</x:v>
      </x:c>
      <x:c r="K106" s="68">
        <x:f t="shared" si="23"/>
        <x:v>0</x:v>
      </x:c>
      <x:c r="L106" s="68">
        <x:f t="shared" si="23"/>
        <x:v>0</x:v>
      </x:c>
      <x:c r="M106" s="68">
        <x:f t="shared" si="23"/>
        <x:v>0</x:v>
      </x:c>
      <x:c r="N106" s="68">
        <x:f t="shared" si="23"/>
        <x:v>0</x:v>
      </x:c>
      <x:c r="O106" s="68">
        <x:f t="shared" si="23"/>
        <x:v>0</x:v>
      </x:c>
      <x:c r="P106" s="68">
        <x:f t="shared" si="23"/>
        <x:v>0</x:v>
      </x:c>
      <x:c r="Q106" s="68">
        <x:f t="shared" si="23"/>
        <x:v>0</x:v>
      </x:c>
      <x:c r="R106" s="68">
        <x:f t="shared" si="23"/>
        <x:v>0</x:v>
      </x:c>
      <x:c r="S106" s="68">
        <x:f t="shared" si="23"/>
        <x:v>0</x:v>
      </x:c>
      <x:c r="T106" s="68">
        <x:f t="shared" si="23"/>
        <x:v>0</x:v>
      </x:c>
      <x:c r="U106" s="68">
        <x:f t="shared" si="23"/>
        <x:v>0</x:v>
      </x:c>
      <x:c r="V106" s="68">
        <x:f t="shared" si="23"/>
        <x:v>0</x:v>
      </x:c>
      <x:c r="W106" s="68">
        <x:f t="shared" si="23"/>
        <x:v>0</x:v>
      </x:c>
      <x:c r="X106" s="68">
        <x:f t="shared" si="23"/>
        <x:v>0</x:v>
      </x:c>
      <x:c r="Y106" s="68">
        <x:f t="shared" si="23"/>
        <x:v>0</x:v>
      </x:c>
      <x:c r="Z106" s="68">
        <x:f t="shared" si="23"/>
        <x:v>0</x:v>
      </x:c>
    </x:row>
    <x:row r="107" ht="15" hidden="1" customHeight="1">
      <x:c r="A107" s="67" t="s">
        <x:v>431</x:v>
      </x:c>
      <x:c r="B107" s="68" t="n">
        <x:f>$J$82+B106</x:f>
        <x:v>1100000000</x:v>
      </x:c>
      <x:c r="C107" s="68" t="n">
        <x:f t="shared" ref="C107:Z107" si="24">B107+C106</x:f>
        <x:v>806558122.4576</x:v>
      </x:c>
      <x:c r="D107" s="68">
        <x:f t="shared" si="24"/>
        <x:v>0</x:v>
      </x:c>
      <x:c r="E107" s="68">
        <x:f t="shared" si="24"/>
        <x:v>0</x:v>
      </x:c>
      <x:c r="F107" s="68">
        <x:f t="shared" si="24"/>
        <x:v>0</x:v>
      </x:c>
      <x:c r="G107" s="68">
        <x:f t="shared" si="24"/>
        <x:v>0</x:v>
      </x:c>
      <x:c r="H107" s="68">
        <x:f t="shared" si="24"/>
        <x:v>0</x:v>
      </x:c>
      <x:c r="I107" s="68">
        <x:f t="shared" si="24"/>
        <x:v>0</x:v>
      </x:c>
      <x:c r="J107" s="68">
        <x:f t="shared" si="24"/>
        <x:v>0</x:v>
      </x:c>
      <x:c r="K107" s="68">
        <x:f t="shared" si="24"/>
        <x:v>0</x:v>
      </x:c>
      <x:c r="L107" s="68">
        <x:f t="shared" si="24"/>
        <x:v>0</x:v>
      </x:c>
      <x:c r="M107" s="68">
        <x:f t="shared" si="24"/>
        <x:v>0</x:v>
      </x:c>
      <x:c r="N107" s="68">
        <x:f t="shared" si="24"/>
        <x:v>0</x:v>
      </x:c>
      <x:c r="O107" s="68">
        <x:f t="shared" si="24"/>
        <x:v>0</x:v>
      </x:c>
      <x:c r="P107" s="68">
        <x:f t="shared" si="24"/>
        <x:v>0</x:v>
      </x:c>
      <x:c r="Q107" s="68">
        <x:f t="shared" si="24"/>
        <x:v>0</x:v>
      </x:c>
      <x:c r="R107" s="68">
        <x:f t="shared" si="24"/>
        <x:v>0</x:v>
      </x:c>
      <x:c r="S107" s="68">
        <x:f t="shared" si="24"/>
        <x:v>0</x:v>
      </x:c>
      <x:c r="T107" s="68">
        <x:f t="shared" si="24"/>
        <x:v>0</x:v>
      </x:c>
      <x:c r="U107" s="68">
        <x:f t="shared" si="24"/>
        <x:v>0</x:v>
      </x:c>
      <x:c r="V107" s="68">
        <x:f t="shared" si="24"/>
        <x:v>0</x:v>
      </x:c>
      <x:c r="W107" s="68">
        <x:f t="shared" si="24"/>
        <x:v>0</x:v>
      </x:c>
      <x:c r="X107" s="68">
        <x:f t="shared" si="24"/>
        <x:v>0</x:v>
      </x:c>
      <x:c r="Y107" s="68">
        <x:f t="shared" si="24"/>
        <x:v>0</x:v>
      </x:c>
      <x:c r="Z107" s="68">
        <x:f t="shared" si="24"/>
        <x:v>0</x:v>
      </x:c>
    </x:row>
    <x:row r="108" ht="15" hidden="1" customHeight="1">
      <x:c r="A108" s="67" t="s">
        <x:v>432</x:v>
      </x:c>
      <x:c r="B108" s="68" t="n">
        <x:f>B106</x:f>
        <x:v>-400000000</x:v>
      </x:c>
      <x:c r="C108" s="68" t="n">
        <x:f t="shared" ref="C108:Z108" si="25">B108+C106</x:f>
        <x:v>-693441877.5424</x:v>
      </x:c>
      <x:c r="D108" s="68">
        <x:f t="shared" si="25"/>
        <x:v>0</x:v>
      </x:c>
      <x:c r="E108" s="68">
        <x:f t="shared" si="25"/>
        <x:v>0</x:v>
      </x:c>
      <x:c r="F108" s="68">
        <x:f t="shared" si="25"/>
        <x:v>0</x:v>
      </x:c>
      <x:c r="G108" s="68">
        <x:f t="shared" si="25"/>
        <x:v>0</x:v>
      </x:c>
      <x:c r="H108" s="68">
        <x:f t="shared" si="25"/>
        <x:v>0</x:v>
      </x:c>
      <x:c r="I108" s="68">
        <x:f t="shared" si="25"/>
        <x:v>0</x:v>
      </x:c>
      <x:c r="J108" s="68">
        <x:f t="shared" si="25"/>
        <x:v>0</x:v>
      </x:c>
      <x:c r="K108" s="68">
        <x:f t="shared" si="25"/>
        <x:v>0</x:v>
      </x:c>
      <x:c r="L108" s="68">
        <x:f t="shared" si="25"/>
        <x:v>0</x:v>
      </x:c>
      <x:c r="M108" s="68">
        <x:f t="shared" si="25"/>
        <x:v>0</x:v>
      </x:c>
      <x:c r="N108" s="68">
        <x:f t="shared" si="25"/>
        <x:v>0</x:v>
      </x:c>
      <x:c r="O108" s="68">
        <x:f t="shared" si="25"/>
        <x:v>0</x:v>
      </x:c>
      <x:c r="P108" s="68">
        <x:f t="shared" si="25"/>
        <x:v>0</x:v>
      </x:c>
      <x:c r="Q108" s="68">
        <x:f t="shared" si="25"/>
        <x:v>0</x:v>
      </x:c>
      <x:c r="R108" s="68">
        <x:f t="shared" si="25"/>
        <x:v>0</x:v>
      </x:c>
      <x:c r="S108" s="68">
        <x:f t="shared" si="25"/>
        <x:v>0</x:v>
      </x:c>
      <x:c r="T108" s="68">
        <x:f t="shared" si="25"/>
        <x:v>0</x:v>
      </x:c>
      <x:c r="U108" s="68">
        <x:f t="shared" si="25"/>
        <x:v>0</x:v>
      </x:c>
      <x:c r="V108" s="68">
        <x:f t="shared" si="25"/>
        <x:v>0</x:v>
      </x:c>
      <x:c r="W108" s="68">
        <x:f t="shared" si="25"/>
        <x:v>0</x:v>
      </x:c>
      <x:c r="X108" s="68">
        <x:f t="shared" si="25"/>
        <x:v>0</x:v>
      </x:c>
      <x:c r="Y108" s="68">
        <x:f t="shared" si="25"/>
        <x:v>0</x:v>
      </x:c>
      <x:c r="Z108" s="68">
        <x:f t="shared" si="25"/>
        <x:v>0</x:v>
      </x:c>
    </x:row>
    <x:row r="109" ht="15" hidden="1" customHeight="1"/>
    <x:row r="110" ht="15" hidden="1" customHeight="1">
      <x:c r="A110" s="67" t="s">
        <x:v>433</x:v>
      </x:c>
      <x:c r="C110" s="69" t="n">
        <x:f>$D$83*(1+$E$83)^0</x:f>
        <x:v>300</x:v>
      </x:c>
      <x:c r="D110" s="69" t="n">
        <x:f>$D$83*(1+$E$83)^1</x:f>
        <x:v>324</x:v>
      </x:c>
      <x:c r="E110" s="69" t="n">
        <x:f>$D$83*(1+$E$83)^2</x:f>
        <x:v>349.92</x:v>
      </x:c>
      <x:c r="F110" s="69" t="n">
        <x:f>$D$83*(1+$E$83)^3</x:f>
        <x:v>377.91360000000003</x:v>
      </x:c>
      <x:c r="G110" s="69" t="n">
        <x:f>$D$83*(1+$E$83)^4</x:f>
        <x:v>408.1466880000001</x:v>
      </x:c>
      <x:c r="H110" s="69" t="n">
        <x:f>$D$83*(1+$E$83)^5</x:f>
        <x:v>440.7984230400001</x:v>
      </x:c>
      <x:c r="I110" s="69" t="n">
        <x:f>$D$83*(1+$E$83)^6</x:f>
        <x:v>476.0622968832002</x:v>
      </x:c>
      <x:c r="J110" s="69" t="n">
        <x:f>$D$83*(1+$E$83)^7</x:f>
        <x:v>514.1472806338562</x:v>
      </x:c>
      <x:c r="K110" s="69" t="n">
        <x:f>$D$83*(1+$E$83)^8</x:f>
        <x:v>555.2790630845647</x:v>
      </x:c>
      <x:c r="L110" s="69" t="n">
        <x:f>$D$83*(1+$E$83)^9</x:f>
        <x:v>599.70138813133</x:v>
      </x:c>
      <x:c r="M110" s="69" t="n">
        <x:f>$D$83*(1+$E$83)^10</x:f>
        <x:v>647.6774991818363</x:v>
      </x:c>
      <x:c r="N110" s="69" t="n">
        <x:f>$D$83*(1+$E$83)^11</x:f>
        <x:v>699.4916991163832</x:v>
      </x:c>
      <x:c r="O110" s="69" t="n">
        <x:f>$D$83*(1+$E$83)^12</x:f>
        <x:v>755.451035045694</x:v>
      </x:c>
      <x:c r="P110" s="69" t="n">
        <x:f>$D$83*(1+$E$83)^13</x:f>
        <x:v>815.8871178493495</x:v>
      </x:c>
      <x:c r="Q110" s="69" t="n">
        <x:f>$D$83*(1+$E$83)^14</x:f>
        <x:v>881.1580872772976</x:v>
      </x:c>
      <x:c r="R110" s="69" t="n">
        <x:f>$D$83*(1+$E$83)^15</x:f>
        <x:v>951.6507342594815</x:v>
      </x:c>
      <x:c r="S110" s="69" t="n">
        <x:f>$D$83*(1+$E$83)^16</x:f>
        <x:v>1027.78279300024</x:v>
      </x:c>
      <x:c r="T110" s="69" t="n">
        <x:f>$D$83*(1+$E$83)^17</x:f>
        <x:v>1110.005416440259</x:v>
      </x:c>
      <x:c r="U110" s="69" t="n">
        <x:f>$D$83*(1+$E$83)^18</x:f>
        <x:v>1198.80584975548</x:v>
      </x:c>
      <x:c r="V110" s="69" t="n">
        <x:f>$D$83*(1+$E$83)^19</x:f>
        <x:v>1294.7103177359186</x:v>
      </x:c>
      <x:c r="W110" s="69" t="n">
        <x:f>$D$83*(1+$E$83)^20</x:f>
        <x:v>1398.287143154792</x:v>
      </x:c>
      <x:c r="X110" s="69" t="n">
        <x:f>$D$83*(1+$E$83)^21</x:f>
        <x:v>1510.1501146071753</x:v>
      </x:c>
      <x:c r="Y110" s="69" t="n">
        <x:f>$D$83*(1+$E$83)^22</x:f>
        <x:v>1630.9621237757497</x:v>
      </x:c>
      <x:c r="Z110" s="69" t="n">
        <x:f>$D$83*(1+$E$83)^23</x:f>
        <x:v>1761.4390936778095</x:v>
      </x:c>
    </x:row>
    <x:row r="111" ht="15" hidden="1" customHeight="1">
      <x:c r="A111" s="67" t="s">
        <x:v>434</x:v>
      </x:c>
      <x:c r="B111" s="67">
        <x:v>0</x:v>
      </x:c>
      <x:c r="C111" s="69" t="n">
        <x:f t="shared" ref="C111:Z111" si="26">B111*(1-$F$83)+C110</x:f>
        <x:v>300</x:v>
      </x:c>
      <x:c r="D111" s="69">
        <x:f t="shared" si="26"/>
        <x:v>0</x:v>
      </x:c>
      <x:c r="E111" s="69">
        <x:f t="shared" si="26"/>
        <x:v>0</x:v>
      </x:c>
      <x:c r="F111" s="69">
        <x:f t="shared" si="26"/>
        <x:v>0</x:v>
      </x:c>
      <x:c r="G111" s="69">
        <x:f t="shared" si="26"/>
        <x:v>0</x:v>
      </x:c>
      <x:c r="H111" s="69">
        <x:f t="shared" si="26"/>
        <x:v>0</x:v>
      </x:c>
      <x:c r="I111" s="69">
        <x:f t="shared" si="26"/>
        <x:v>0</x:v>
      </x:c>
      <x:c r="J111" s="69">
        <x:f t="shared" si="26"/>
        <x:v>0</x:v>
      </x:c>
      <x:c r="K111" s="69">
        <x:f t="shared" si="26"/>
        <x:v>0</x:v>
      </x:c>
      <x:c r="L111" s="69">
        <x:f t="shared" si="26"/>
        <x:v>0</x:v>
      </x:c>
      <x:c r="M111" s="69">
        <x:f t="shared" si="26"/>
        <x:v>0</x:v>
      </x:c>
      <x:c r="N111" s="69">
        <x:f t="shared" si="26"/>
        <x:v>0</x:v>
      </x:c>
      <x:c r="O111" s="69">
        <x:f t="shared" si="26"/>
        <x:v>0</x:v>
      </x:c>
      <x:c r="P111" s="69">
        <x:f t="shared" si="26"/>
        <x:v>0</x:v>
      </x:c>
      <x:c r="Q111" s="69">
        <x:f t="shared" si="26"/>
        <x:v>0</x:v>
      </x:c>
      <x:c r="R111" s="69">
        <x:f t="shared" si="26"/>
        <x:v>0</x:v>
      </x:c>
      <x:c r="S111" s="69">
        <x:f t="shared" si="26"/>
        <x:v>0</x:v>
      </x:c>
      <x:c r="T111" s="69">
        <x:f t="shared" si="26"/>
        <x:v>0</x:v>
      </x:c>
      <x:c r="U111" s="69">
        <x:f t="shared" si="26"/>
        <x:v>0</x:v>
      </x:c>
      <x:c r="V111" s="69">
        <x:f t="shared" si="26"/>
        <x:v>0</x:v>
      </x:c>
      <x:c r="W111" s="69">
        <x:f t="shared" si="26"/>
        <x:v>0</x:v>
      </x:c>
      <x:c r="X111" s="69">
        <x:f t="shared" si="26"/>
        <x:v>0</x:v>
      </x:c>
      <x:c r="Y111" s="69">
        <x:f t="shared" si="26"/>
        <x:v>0</x:v>
      </x:c>
      <x:c r="Z111" s="69">
        <x:f t="shared" si="26"/>
        <x:v>0</x:v>
      </x:c>
    </x:row>
    <x:row r="112" ht="15" hidden="1" customHeight="1">
      <x:c r="A112" s="67" t="s">
        <x:v>435</x:v>
      </x:c>
      <x:c r="B112" s="68" t="n">
        <x:f>-$I$83</x:f>
        <x:v>-400000000</x:v>
      </x:c>
      <x:c r="C112" s="68" t="n">
        <x:f t="shared" ref="C112:Z112" si="27">C111*($B$83-$C$83)-C110*$G$83-$H$83</x:f>
        <x:v>-292559897.952</x:v>
      </x:c>
      <x:c r="D112" s="68">
        <x:f t="shared" si="27"/>
        <x:v>0</x:v>
      </x:c>
      <x:c r="E112" s="68">
        <x:f t="shared" si="27"/>
        <x:v>0</x:v>
      </x:c>
      <x:c r="F112" s="68">
        <x:f t="shared" si="27"/>
        <x:v>0</x:v>
      </x:c>
      <x:c r="G112" s="68">
        <x:f t="shared" si="27"/>
        <x:v>0</x:v>
      </x:c>
      <x:c r="H112" s="68">
        <x:f t="shared" si="27"/>
        <x:v>0</x:v>
      </x:c>
      <x:c r="I112" s="68">
        <x:f t="shared" si="27"/>
        <x:v>0</x:v>
      </x:c>
      <x:c r="J112" s="68">
        <x:f t="shared" si="27"/>
        <x:v>0</x:v>
      </x:c>
      <x:c r="K112" s="68">
        <x:f t="shared" si="27"/>
        <x:v>0</x:v>
      </x:c>
      <x:c r="L112" s="68">
        <x:f t="shared" si="27"/>
        <x:v>0</x:v>
      </x:c>
      <x:c r="M112" s="68">
        <x:f t="shared" si="27"/>
        <x:v>0</x:v>
      </x:c>
      <x:c r="N112" s="68">
        <x:f t="shared" si="27"/>
        <x:v>0</x:v>
      </x:c>
      <x:c r="O112" s="68">
        <x:f t="shared" si="27"/>
        <x:v>0</x:v>
      </x:c>
      <x:c r="P112" s="68">
        <x:f t="shared" si="27"/>
        <x:v>0</x:v>
      </x:c>
      <x:c r="Q112" s="68">
        <x:f t="shared" si="27"/>
        <x:v>0</x:v>
      </x:c>
      <x:c r="R112" s="68">
        <x:f t="shared" si="27"/>
        <x:v>0</x:v>
      </x:c>
      <x:c r="S112" s="68">
        <x:f t="shared" si="27"/>
        <x:v>0</x:v>
      </x:c>
      <x:c r="T112" s="68">
        <x:f t="shared" si="27"/>
        <x:v>0</x:v>
      </x:c>
      <x:c r="U112" s="68">
        <x:f t="shared" si="27"/>
        <x:v>0</x:v>
      </x:c>
      <x:c r="V112" s="68">
        <x:f t="shared" si="27"/>
        <x:v>0</x:v>
      </x:c>
      <x:c r="W112" s="68">
        <x:f t="shared" si="27"/>
        <x:v>0</x:v>
      </x:c>
      <x:c r="X112" s="68">
        <x:f t="shared" si="27"/>
        <x:v>0</x:v>
      </x:c>
      <x:c r="Y112" s="68">
        <x:f t="shared" si="27"/>
        <x:v>0</x:v>
      </x:c>
      <x:c r="Z112" s="68">
        <x:f t="shared" si="27"/>
        <x:v>0</x:v>
      </x:c>
    </x:row>
    <x:row r="113" ht="15" hidden="1" customHeight="1">
      <x:c r="A113" s="67" t="s">
        <x:v>436</x:v>
      </x:c>
      <x:c r="B113" s="68" t="n">
        <x:f>$J$83+B112</x:f>
        <x:v>1100000000</x:v>
      </x:c>
      <x:c r="C113" s="68" t="n">
        <x:f t="shared" ref="C113:Z113" si="28">B113+C112</x:f>
        <x:v>807440102.048</x:v>
      </x:c>
      <x:c r="D113" s="68">
        <x:f t="shared" si="28"/>
        <x:v>0</x:v>
      </x:c>
      <x:c r="E113" s="68">
        <x:f t="shared" si="28"/>
        <x:v>0</x:v>
      </x:c>
      <x:c r="F113" s="68">
        <x:f t="shared" si="28"/>
        <x:v>0</x:v>
      </x:c>
      <x:c r="G113" s="68">
        <x:f t="shared" si="28"/>
        <x:v>0</x:v>
      </x:c>
      <x:c r="H113" s="68">
        <x:f t="shared" si="28"/>
        <x:v>0</x:v>
      </x:c>
      <x:c r="I113" s="68">
        <x:f t="shared" si="28"/>
        <x:v>0</x:v>
      </x:c>
      <x:c r="J113" s="68">
        <x:f t="shared" si="28"/>
        <x:v>0</x:v>
      </x:c>
      <x:c r="K113" s="68">
        <x:f t="shared" si="28"/>
        <x:v>0</x:v>
      </x:c>
      <x:c r="L113" s="68">
        <x:f t="shared" si="28"/>
        <x:v>0</x:v>
      </x:c>
      <x:c r="M113" s="68">
        <x:f t="shared" si="28"/>
        <x:v>0</x:v>
      </x:c>
      <x:c r="N113" s="68">
        <x:f t="shared" si="28"/>
        <x:v>0</x:v>
      </x:c>
      <x:c r="O113" s="68">
        <x:f t="shared" si="28"/>
        <x:v>0</x:v>
      </x:c>
      <x:c r="P113" s="68">
        <x:f t="shared" si="28"/>
        <x:v>0</x:v>
      </x:c>
      <x:c r="Q113" s="68">
        <x:f t="shared" si="28"/>
        <x:v>0</x:v>
      </x:c>
      <x:c r="R113" s="68">
        <x:f t="shared" si="28"/>
        <x:v>0</x:v>
      </x:c>
      <x:c r="S113" s="68">
        <x:f t="shared" si="28"/>
        <x:v>0</x:v>
      </x:c>
      <x:c r="T113" s="68">
        <x:f t="shared" si="28"/>
        <x:v>0</x:v>
      </x:c>
      <x:c r="U113" s="68">
        <x:f t="shared" si="28"/>
        <x:v>0</x:v>
      </x:c>
      <x:c r="V113" s="68">
        <x:f t="shared" si="28"/>
        <x:v>0</x:v>
      </x:c>
      <x:c r="W113" s="68">
        <x:f t="shared" si="28"/>
        <x:v>0</x:v>
      </x:c>
      <x:c r="X113" s="68">
        <x:f t="shared" si="28"/>
        <x:v>0</x:v>
      </x:c>
      <x:c r="Y113" s="68">
        <x:f t="shared" si="28"/>
        <x:v>0</x:v>
      </x:c>
      <x:c r="Z113" s="68">
        <x:f t="shared" si="28"/>
        <x:v>0</x:v>
      </x:c>
    </x:row>
    <x:row r="114" ht="15" hidden="1" customHeight="1">
      <x:c r="A114" s="67" t="s">
        <x:v>437</x:v>
      </x:c>
      <x:c r="B114" s="68" t="n">
        <x:f>B112</x:f>
        <x:v>-400000000</x:v>
      </x:c>
      <x:c r="C114" s="68" t="n">
        <x:f t="shared" ref="C114:Z114" si="29">B114+C112</x:f>
        <x:v>-692559897.952</x:v>
      </x:c>
      <x:c r="D114" s="68">
        <x:f t="shared" si="29"/>
        <x:v>0</x:v>
      </x:c>
      <x:c r="E114" s="68">
        <x:f t="shared" si="29"/>
        <x:v>0</x:v>
      </x:c>
      <x:c r="F114" s="68">
        <x:f t="shared" si="29"/>
        <x:v>0</x:v>
      </x:c>
      <x:c r="G114" s="68">
        <x:f t="shared" si="29"/>
        <x:v>0</x:v>
      </x:c>
      <x:c r="H114" s="68">
        <x:f t="shared" si="29"/>
        <x:v>0</x:v>
      </x:c>
      <x:c r="I114" s="68">
        <x:f t="shared" si="29"/>
        <x:v>0</x:v>
      </x:c>
      <x:c r="J114" s="68">
        <x:f t="shared" si="29"/>
        <x:v>0</x:v>
      </x:c>
      <x:c r="K114" s="68">
        <x:f t="shared" si="29"/>
        <x:v>0</x:v>
      </x:c>
      <x:c r="L114" s="68">
        <x:f t="shared" si="29"/>
        <x:v>0</x:v>
      </x:c>
      <x:c r="M114" s="68">
        <x:f t="shared" si="29"/>
        <x:v>0</x:v>
      </x:c>
      <x:c r="N114" s="68">
        <x:f t="shared" si="29"/>
        <x:v>0</x:v>
      </x:c>
      <x:c r="O114" s="68">
        <x:f t="shared" si="29"/>
        <x:v>0</x:v>
      </x:c>
      <x:c r="P114" s="68">
        <x:f t="shared" si="29"/>
        <x:v>0</x:v>
      </x:c>
      <x:c r="Q114" s="68">
        <x:f t="shared" si="29"/>
        <x:v>0</x:v>
      </x:c>
      <x:c r="R114" s="68">
        <x:f t="shared" si="29"/>
        <x:v>0</x:v>
      </x:c>
      <x:c r="S114" s="68">
        <x:f t="shared" si="29"/>
        <x:v>0</x:v>
      </x:c>
      <x:c r="T114" s="68">
        <x:f t="shared" si="29"/>
        <x:v>0</x:v>
      </x:c>
      <x:c r="U114" s="68">
        <x:f t="shared" si="29"/>
        <x:v>0</x:v>
      </x:c>
      <x:c r="V114" s="68">
        <x:f t="shared" si="29"/>
        <x:v>0</x:v>
      </x:c>
      <x:c r="W114" s="68">
        <x:f t="shared" si="29"/>
        <x:v>0</x:v>
      </x:c>
      <x:c r="X114" s="68">
        <x:f t="shared" si="29"/>
        <x:v>0</x:v>
      </x:c>
      <x:c r="Y114" s="68">
        <x:f t="shared" si="29"/>
        <x:v>0</x:v>
      </x:c>
      <x:c r="Z114" s="68">
        <x:f t="shared" si="29"/>
        <x:v>0</x:v>
      </x:c>
    </x:row>
    <x:row r="115" ht="15" hidden="1" customHeight="1"/>
    <x:row r="116" ht="15" hidden="1" customHeight="1">
      <x:c r="A116" s="67" t="s">
        <x:v>438</x:v>
      </x:c>
      <x:c r="C116" s="69" t="n">
        <x:f>$D$84*(1+$E$84)^0</x:f>
        <x:v>300</x:v>
      </x:c>
      <x:c r="D116" s="69" t="n">
        <x:f>$D$84*(1+$E$84)^1</x:f>
        <x:v>324</x:v>
      </x:c>
      <x:c r="E116" s="69" t="n">
        <x:f>$D$84*(1+$E$84)^2</x:f>
        <x:v>349.92</x:v>
      </x:c>
      <x:c r="F116" s="69" t="n">
        <x:f>$D$84*(1+$E$84)^3</x:f>
        <x:v>377.91360000000003</x:v>
      </x:c>
      <x:c r="G116" s="69" t="n">
        <x:f>$D$84*(1+$E$84)^4</x:f>
        <x:v>408.1466880000001</x:v>
      </x:c>
      <x:c r="H116" s="69" t="n">
        <x:f>$D$84*(1+$E$84)^5</x:f>
        <x:v>440.7984230400001</x:v>
      </x:c>
      <x:c r="I116" s="69" t="n">
        <x:f>$D$84*(1+$E$84)^6</x:f>
        <x:v>476.0622968832002</x:v>
      </x:c>
      <x:c r="J116" s="69" t="n">
        <x:f>$D$84*(1+$E$84)^7</x:f>
        <x:v>514.1472806338562</x:v>
      </x:c>
      <x:c r="K116" s="69" t="n">
        <x:f>$D$84*(1+$E$84)^8</x:f>
        <x:v>555.2790630845647</x:v>
      </x:c>
      <x:c r="L116" s="69" t="n">
        <x:f>$D$84*(1+$E$84)^9</x:f>
        <x:v>599.70138813133</x:v>
      </x:c>
      <x:c r="M116" s="69" t="n">
        <x:f>$D$84*(1+$E$84)^10</x:f>
        <x:v>647.6774991818363</x:v>
      </x:c>
      <x:c r="N116" s="69" t="n">
        <x:f>$D$84*(1+$E$84)^11</x:f>
        <x:v>699.4916991163832</x:v>
      </x:c>
      <x:c r="O116" s="69" t="n">
        <x:f>$D$84*(1+$E$84)^12</x:f>
        <x:v>755.451035045694</x:v>
      </x:c>
      <x:c r="P116" s="69" t="n">
        <x:f>$D$84*(1+$E$84)^13</x:f>
        <x:v>815.8871178493495</x:v>
      </x:c>
      <x:c r="Q116" s="69" t="n">
        <x:f>$D$84*(1+$E$84)^14</x:f>
        <x:v>881.1580872772976</x:v>
      </x:c>
      <x:c r="R116" s="69" t="n">
        <x:f>$D$84*(1+$E$84)^15</x:f>
        <x:v>951.6507342594815</x:v>
      </x:c>
      <x:c r="S116" s="69" t="n">
        <x:f>$D$84*(1+$E$84)^16</x:f>
        <x:v>1027.78279300024</x:v>
      </x:c>
      <x:c r="T116" s="69" t="n">
        <x:f>$D$84*(1+$E$84)^17</x:f>
        <x:v>1110.005416440259</x:v>
      </x:c>
      <x:c r="U116" s="69" t="n">
        <x:f>$D$84*(1+$E$84)^18</x:f>
        <x:v>1198.80584975548</x:v>
      </x:c>
      <x:c r="V116" s="69" t="n">
        <x:f>$D$84*(1+$E$84)^19</x:f>
        <x:v>1294.7103177359186</x:v>
      </x:c>
      <x:c r="W116" s="69" t="n">
        <x:f>$D$84*(1+$E$84)^20</x:f>
        <x:v>1398.287143154792</x:v>
      </x:c>
      <x:c r="X116" s="69" t="n">
        <x:f>$D$84*(1+$E$84)^21</x:f>
        <x:v>1510.1501146071753</x:v>
      </x:c>
      <x:c r="Y116" s="69" t="n">
        <x:f>$D$84*(1+$E$84)^22</x:f>
        <x:v>1630.9621237757497</x:v>
      </x:c>
      <x:c r="Z116" s="69" t="n">
        <x:f>$D$84*(1+$E$84)^23</x:f>
        <x:v>1761.4390936778095</x:v>
      </x:c>
    </x:row>
    <x:row r="117" ht="15" hidden="1" customHeight="1">
      <x:c r="A117" s="67" t="s">
        <x:v>439</x:v>
      </x:c>
      <x:c r="B117" s="67">
        <x:v>0</x:v>
      </x:c>
      <x:c r="C117" s="69" t="n">
        <x:f t="shared" ref="C117:Z117" si="30">B117*(1-$F$84)+C116</x:f>
        <x:v>300</x:v>
      </x:c>
      <x:c r="D117" s="69">
        <x:f t="shared" si="30"/>
        <x:v>0</x:v>
      </x:c>
      <x:c r="E117" s="69">
        <x:f t="shared" si="30"/>
        <x:v>0</x:v>
      </x:c>
      <x:c r="F117" s="69">
        <x:f t="shared" si="30"/>
        <x:v>0</x:v>
      </x:c>
      <x:c r="G117" s="69">
        <x:f t="shared" si="30"/>
        <x:v>0</x:v>
      </x:c>
      <x:c r="H117" s="69">
        <x:f t="shared" si="30"/>
        <x:v>0</x:v>
      </x:c>
      <x:c r="I117" s="69">
        <x:f t="shared" si="30"/>
        <x:v>0</x:v>
      </x:c>
      <x:c r="J117" s="69">
        <x:f t="shared" si="30"/>
        <x:v>0</x:v>
      </x:c>
      <x:c r="K117" s="69">
        <x:f t="shared" si="30"/>
        <x:v>0</x:v>
      </x:c>
      <x:c r="L117" s="69">
        <x:f t="shared" si="30"/>
        <x:v>0</x:v>
      </x:c>
      <x:c r="M117" s="69">
        <x:f t="shared" si="30"/>
        <x:v>0</x:v>
      </x:c>
      <x:c r="N117" s="69">
        <x:f t="shared" si="30"/>
        <x:v>0</x:v>
      </x:c>
      <x:c r="O117" s="69">
        <x:f t="shared" si="30"/>
        <x:v>0</x:v>
      </x:c>
      <x:c r="P117" s="69">
        <x:f t="shared" si="30"/>
        <x:v>0</x:v>
      </x:c>
      <x:c r="Q117" s="69">
        <x:f t="shared" si="30"/>
        <x:v>0</x:v>
      </x:c>
      <x:c r="R117" s="69">
        <x:f t="shared" si="30"/>
        <x:v>0</x:v>
      </x:c>
      <x:c r="S117" s="69">
        <x:f t="shared" si="30"/>
        <x:v>0</x:v>
      </x:c>
      <x:c r="T117" s="69">
        <x:f t="shared" si="30"/>
        <x:v>0</x:v>
      </x:c>
      <x:c r="U117" s="69">
        <x:f t="shared" si="30"/>
        <x:v>0</x:v>
      </x:c>
      <x:c r="V117" s="69">
        <x:f t="shared" si="30"/>
        <x:v>0</x:v>
      </x:c>
      <x:c r="W117" s="69">
        <x:f t="shared" si="30"/>
        <x:v>0</x:v>
      </x:c>
      <x:c r="X117" s="69">
        <x:f t="shared" si="30"/>
        <x:v>0</x:v>
      </x:c>
      <x:c r="Y117" s="69">
        <x:f t="shared" si="30"/>
        <x:v>0</x:v>
      </x:c>
      <x:c r="Z117" s="69">
        <x:f t="shared" si="30"/>
        <x:v>0</x:v>
      </x:c>
    </x:row>
    <x:row r="118" ht="15" hidden="1" customHeight="1">
      <x:c r="A118" s="67" t="s">
        <x:v>440</x:v>
      </x:c>
      <x:c r="B118" s="68" t="n">
        <x:f>-$I$84</x:f>
        <x:v>-400000000</x:v>
      </x:c>
      <x:c r="C118" s="68" t="n">
        <x:f t="shared" ref="C118:Z118" si="31">C117*($B$84-$C$84)-C116*$G$84-$H$84</x:f>
        <x:v>-334559897.952</x:v>
      </x:c>
      <x:c r="D118" s="68">
        <x:f t="shared" si="31"/>
        <x:v>0</x:v>
      </x:c>
      <x:c r="E118" s="68">
        <x:f t="shared" si="31"/>
        <x:v>0</x:v>
      </x:c>
      <x:c r="F118" s="68">
        <x:f t="shared" si="31"/>
        <x:v>0</x:v>
      </x:c>
      <x:c r="G118" s="68">
        <x:f t="shared" si="31"/>
        <x:v>0</x:v>
      </x:c>
      <x:c r="H118" s="68">
        <x:f t="shared" si="31"/>
        <x:v>0</x:v>
      </x:c>
      <x:c r="I118" s="68">
        <x:f t="shared" si="31"/>
        <x:v>0</x:v>
      </x:c>
      <x:c r="J118" s="68">
        <x:f t="shared" si="31"/>
        <x:v>0</x:v>
      </x:c>
      <x:c r="K118" s="68">
        <x:f t="shared" si="31"/>
        <x:v>0</x:v>
      </x:c>
      <x:c r="L118" s="68">
        <x:f t="shared" si="31"/>
        <x:v>0</x:v>
      </x:c>
      <x:c r="M118" s="68">
        <x:f t="shared" si="31"/>
        <x:v>0</x:v>
      </x:c>
      <x:c r="N118" s="68">
        <x:f t="shared" si="31"/>
        <x:v>0</x:v>
      </x:c>
      <x:c r="O118" s="68">
        <x:f t="shared" si="31"/>
        <x:v>0</x:v>
      </x:c>
      <x:c r="P118" s="68">
        <x:f t="shared" si="31"/>
        <x:v>0</x:v>
      </x:c>
      <x:c r="Q118" s="68">
        <x:f t="shared" si="31"/>
        <x:v>0</x:v>
      </x:c>
      <x:c r="R118" s="68">
        <x:f t="shared" si="31"/>
        <x:v>0</x:v>
      </x:c>
      <x:c r="S118" s="68">
        <x:f t="shared" si="31"/>
        <x:v>0</x:v>
      </x:c>
      <x:c r="T118" s="68">
        <x:f t="shared" si="31"/>
        <x:v>0</x:v>
      </x:c>
      <x:c r="U118" s="68">
        <x:f t="shared" si="31"/>
        <x:v>0</x:v>
      </x:c>
      <x:c r="V118" s="68">
        <x:f t="shared" si="31"/>
        <x:v>0</x:v>
      </x:c>
      <x:c r="W118" s="68">
        <x:f t="shared" si="31"/>
        <x:v>0</x:v>
      </x:c>
      <x:c r="X118" s="68">
        <x:f t="shared" si="31"/>
        <x:v>0</x:v>
      </x:c>
      <x:c r="Y118" s="68">
        <x:f t="shared" si="31"/>
        <x:v>0</x:v>
      </x:c>
      <x:c r="Z118" s="68">
        <x:f t="shared" si="31"/>
        <x:v>0</x:v>
      </x:c>
    </x:row>
    <x:row r="119" ht="15" hidden="1" customHeight="1">
      <x:c r="A119" s="67" t="s">
        <x:v>441</x:v>
      </x:c>
      <x:c r="B119" s="68" t="n">
        <x:f>$J$84+B118</x:f>
        <x:v>1100000000</x:v>
      </x:c>
      <x:c r="C119" s="68" t="n">
        <x:f t="shared" ref="C119:Z119" si="32">B119+C118</x:f>
        <x:v>765440102.048</x:v>
      </x:c>
      <x:c r="D119" s="68">
        <x:f t="shared" si="32"/>
        <x:v>0</x:v>
      </x:c>
      <x:c r="E119" s="68">
        <x:f t="shared" si="32"/>
        <x:v>0</x:v>
      </x:c>
      <x:c r="F119" s="68">
        <x:f t="shared" si="32"/>
        <x:v>0</x:v>
      </x:c>
      <x:c r="G119" s="68">
        <x:f t="shared" si="32"/>
        <x:v>0</x:v>
      </x:c>
      <x:c r="H119" s="68">
        <x:f t="shared" si="32"/>
        <x:v>0</x:v>
      </x:c>
      <x:c r="I119" s="68">
        <x:f t="shared" si="32"/>
        <x:v>0</x:v>
      </x:c>
      <x:c r="J119" s="68">
        <x:f t="shared" si="32"/>
        <x:v>0</x:v>
      </x:c>
      <x:c r="K119" s="68">
        <x:f t="shared" si="32"/>
        <x:v>0</x:v>
      </x:c>
      <x:c r="L119" s="68">
        <x:f t="shared" si="32"/>
        <x:v>0</x:v>
      </x:c>
      <x:c r="M119" s="68">
        <x:f t="shared" si="32"/>
        <x:v>0</x:v>
      </x:c>
      <x:c r="N119" s="68">
        <x:f t="shared" si="32"/>
        <x:v>0</x:v>
      </x:c>
      <x:c r="O119" s="68">
        <x:f t="shared" si="32"/>
        <x:v>0</x:v>
      </x:c>
      <x:c r="P119" s="68">
        <x:f t="shared" si="32"/>
        <x:v>0</x:v>
      </x:c>
      <x:c r="Q119" s="68">
        <x:f t="shared" si="32"/>
        <x:v>0</x:v>
      </x:c>
      <x:c r="R119" s="68">
        <x:f t="shared" si="32"/>
        <x:v>0</x:v>
      </x:c>
      <x:c r="S119" s="68">
        <x:f t="shared" si="32"/>
        <x:v>0</x:v>
      </x:c>
      <x:c r="T119" s="68">
        <x:f t="shared" si="32"/>
        <x:v>0</x:v>
      </x:c>
      <x:c r="U119" s="68">
        <x:f t="shared" si="32"/>
        <x:v>0</x:v>
      </x:c>
      <x:c r="V119" s="68">
        <x:f t="shared" si="32"/>
        <x:v>0</x:v>
      </x:c>
      <x:c r="W119" s="68">
        <x:f t="shared" si="32"/>
        <x:v>0</x:v>
      </x:c>
      <x:c r="X119" s="68">
        <x:f t="shared" si="32"/>
        <x:v>0</x:v>
      </x:c>
      <x:c r="Y119" s="68">
        <x:f t="shared" si="32"/>
        <x:v>0</x:v>
      </x:c>
      <x:c r="Z119" s="68">
        <x:f t="shared" si="32"/>
        <x:v>0</x:v>
      </x:c>
    </x:row>
    <x:row r="120" ht="15" hidden="1" customHeight="1">
      <x:c r="A120" s="67" t="s">
        <x:v>442</x:v>
      </x:c>
      <x:c r="B120" s="68" t="n">
        <x:f>B118</x:f>
        <x:v>-400000000</x:v>
      </x:c>
      <x:c r="C120" s="68" t="n">
        <x:f t="shared" ref="C120:Z120" si="33">B120+C118</x:f>
        <x:v>-734559897.952</x:v>
      </x:c>
      <x:c r="D120" s="68">
        <x:f t="shared" si="33"/>
        <x:v>0</x:v>
      </x:c>
      <x:c r="E120" s="68">
        <x:f t="shared" si="33"/>
        <x:v>0</x:v>
      </x:c>
      <x:c r="F120" s="68">
        <x:f t="shared" si="33"/>
        <x:v>0</x:v>
      </x:c>
      <x:c r="G120" s="68">
        <x:f t="shared" si="33"/>
        <x:v>0</x:v>
      </x:c>
      <x:c r="H120" s="68">
        <x:f t="shared" si="33"/>
        <x:v>0</x:v>
      </x:c>
      <x:c r="I120" s="68">
        <x:f t="shared" si="33"/>
        <x:v>0</x:v>
      </x:c>
      <x:c r="J120" s="68">
        <x:f t="shared" si="33"/>
        <x:v>0</x:v>
      </x:c>
      <x:c r="K120" s="68">
        <x:f t="shared" si="33"/>
        <x:v>0</x:v>
      </x:c>
      <x:c r="L120" s="68">
        <x:f t="shared" si="33"/>
        <x:v>0</x:v>
      </x:c>
      <x:c r="M120" s="68">
        <x:f t="shared" si="33"/>
        <x:v>0</x:v>
      </x:c>
      <x:c r="N120" s="68">
        <x:f t="shared" si="33"/>
        <x:v>0</x:v>
      </x:c>
      <x:c r="O120" s="68">
        <x:f t="shared" si="33"/>
        <x:v>0</x:v>
      </x:c>
      <x:c r="P120" s="68">
        <x:f t="shared" si="33"/>
        <x:v>0</x:v>
      </x:c>
      <x:c r="Q120" s="68">
        <x:f t="shared" si="33"/>
        <x:v>0</x:v>
      </x:c>
      <x:c r="R120" s="68">
        <x:f t="shared" si="33"/>
        <x:v>0</x:v>
      </x:c>
      <x:c r="S120" s="68">
        <x:f t="shared" si="33"/>
        <x:v>0</x:v>
      </x:c>
      <x:c r="T120" s="68">
        <x:f t="shared" si="33"/>
        <x:v>0</x:v>
      </x:c>
      <x:c r="U120" s="68">
        <x:f t="shared" si="33"/>
        <x:v>0</x:v>
      </x:c>
      <x:c r="V120" s="68">
        <x:f t="shared" si="33"/>
        <x:v>0</x:v>
      </x:c>
      <x:c r="W120" s="68">
        <x:f t="shared" si="33"/>
        <x:v>0</x:v>
      </x:c>
      <x:c r="X120" s="68">
        <x:f t="shared" si="33"/>
        <x:v>0</x:v>
      </x:c>
      <x:c r="Y120" s="68">
        <x:f t="shared" si="33"/>
        <x:v>0</x:v>
      </x:c>
      <x:c r="Z120" s="68">
        <x:f t="shared" si="33"/>
        <x:v>0</x:v>
      </x:c>
    </x:row>
    <x:row r="121" ht="15" hidden="1" customHeight="1"/>
    <x:row r="122" ht="15" hidden="1" customHeight="1">
      <x:c r="A122" s="67" t="s">
        <x:v>443</x:v>
      </x:c>
      <x:c r="C122" s="69" t="n">
        <x:f>$D$85*(1+$E$85)^0</x:f>
        <x:v>240</x:v>
      </x:c>
      <x:c r="D122" s="69" t="n">
        <x:f>$D$85*(1+$E$85)^1</x:f>
        <x:v>259.20000000000005</x:v>
      </x:c>
      <x:c r="E122" s="69" t="n">
        <x:f>$D$85*(1+$E$85)^2</x:f>
        <x:v>279.93600000000004</x:v>
      </x:c>
      <x:c r="F122" s="69" t="n">
        <x:f>$D$85*(1+$E$85)^3</x:f>
        <x:v>302.33088000000004</x:v>
      </x:c>
      <x:c r="G122" s="69" t="n">
        <x:f>$D$85*(1+$E$85)^4</x:f>
        <x:v>326.51735040000005</x:v>
      </x:c>
      <x:c r="H122" s="69" t="n">
        <x:f>$D$85*(1+$E$85)^5</x:f>
        <x:v>352.6387384320001</x:v>
      </x:c>
      <x:c r="I122" s="69" t="n">
        <x:f>$D$85*(1+$E$85)^6</x:f>
        <x:v>380.8498375065601</x:v>
      </x:c>
      <x:c r="J122" s="69" t="n">
        <x:f>$D$85*(1+$E$85)^7</x:f>
        <x:v>411.31782450708494</x:v>
      </x:c>
      <x:c r="K122" s="69" t="n">
        <x:f>$D$85*(1+$E$85)^8</x:f>
        <x:v>444.2232504676518</x:v>
      </x:c>
      <x:c r="L122" s="69" t="n">
        <x:f>$D$85*(1+$E$85)^9</x:f>
        <x:v>479.7611105050639</x:v>
      </x:c>
      <x:c r="M122" s="69" t="n">
        <x:f>$D$85*(1+$E$85)^10</x:f>
        <x:v>518.141999345469</x:v>
      </x:c>
      <x:c r="N122" s="69" t="n">
        <x:f>$D$85*(1+$E$85)^11</x:f>
        <x:v>559.5933592931066</x:v>
      </x:c>
      <x:c r="O122" s="69" t="n">
        <x:f>$D$85*(1+$E$85)^12</x:f>
        <x:v>604.3608280365552</x:v>
      </x:c>
      <x:c r="P122" s="69" t="n">
        <x:f>$D$85*(1+$E$85)^13</x:f>
        <x:v>652.7096942794795</x:v>
      </x:c>
      <x:c r="Q122" s="69" t="n">
        <x:f>$D$85*(1+$E$85)^14</x:f>
        <x:v>704.926469821838</x:v>
      </x:c>
      <x:c r="R122" s="69" t="n">
        <x:f>$D$85*(1+$E$85)^15</x:f>
        <x:v>761.3205874075852</x:v>
      </x:c>
      <x:c r="S122" s="69" t="n">
        <x:f>$D$85*(1+$E$85)^16</x:f>
        <x:v>822.226234400192</x:v>
      </x:c>
      <x:c r="T122" s="69" t="n">
        <x:f>$D$85*(1+$E$85)^17</x:f>
        <x:v>888.0043331522073</x:v>
      </x:c>
      <x:c r="U122" s="69" t="n">
        <x:f>$D$85*(1+$E$85)^18</x:f>
        <x:v>959.044679804384</x:v>
      </x:c>
      <x:c r="V122" s="69" t="n">
        <x:f>$D$85*(1+$E$85)^19</x:f>
        <x:v>1035.7682541887348</x:v>
      </x:c>
      <x:c r="W122" s="69" t="n">
        <x:f>$D$85*(1+$E$85)^20</x:f>
        <x:v>1118.6297145238336</x:v>
      </x:c>
      <x:c r="X122" s="69" t="n">
        <x:f>$D$85*(1+$E$85)^21</x:f>
        <x:v>1208.1200916857404</x:v>
      </x:c>
      <x:c r="Y122" s="69" t="n">
        <x:f>$D$85*(1+$E$85)^22</x:f>
        <x:v>1304.7696990205998</x:v>
      </x:c>
      <x:c r="Z122" s="69" t="n">
        <x:f>$D$85*(1+$E$85)^23</x:f>
        <x:v>1409.1512749422477</x:v>
      </x:c>
    </x:row>
    <x:row r="123" ht="15" hidden="1" customHeight="1">
      <x:c r="A123" s="67" t="s">
        <x:v>444</x:v>
      </x:c>
      <x:c r="B123" s="67">
        <x:v>0</x:v>
      </x:c>
      <x:c r="C123" s="69" t="n">
        <x:f t="shared" ref="C123:Z123" si="34">B123*(1-$F$85)+C122</x:f>
        <x:v>240</x:v>
      </x:c>
      <x:c r="D123" s="69">
        <x:f t="shared" si="34"/>
        <x:v>0</x:v>
      </x:c>
      <x:c r="E123" s="69">
        <x:f t="shared" si="34"/>
        <x:v>0</x:v>
      </x:c>
      <x:c r="F123" s="69">
        <x:f t="shared" si="34"/>
        <x:v>0</x:v>
      </x:c>
      <x:c r="G123" s="69">
        <x:f t="shared" si="34"/>
        <x:v>0</x:v>
      </x:c>
      <x:c r="H123" s="69">
        <x:f t="shared" si="34"/>
        <x:v>0</x:v>
      </x:c>
      <x:c r="I123" s="69">
        <x:f t="shared" si="34"/>
        <x:v>0</x:v>
      </x:c>
      <x:c r="J123" s="69">
        <x:f t="shared" si="34"/>
        <x:v>0</x:v>
      </x:c>
      <x:c r="K123" s="69">
        <x:f t="shared" si="34"/>
        <x:v>0</x:v>
      </x:c>
      <x:c r="L123" s="69">
        <x:f t="shared" si="34"/>
        <x:v>0</x:v>
      </x:c>
      <x:c r="M123" s="69">
        <x:f t="shared" si="34"/>
        <x:v>0</x:v>
      </x:c>
      <x:c r="N123" s="69">
        <x:f t="shared" si="34"/>
        <x:v>0</x:v>
      </x:c>
      <x:c r="O123" s="69">
        <x:f t="shared" si="34"/>
        <x:v>0</x:v>
      </x:c>
      <x:c r="P123" s="69">
        <x:f t="shared" si="34"/>
        <x:v>0</x:v>
      </x:c>
      <x:c r="Q123" s="69">
        <x:f t="shared" si="34"/>
        <x:v>0</x:v>
      </x:c>
      <x:c r="R123" s="69">
        <x:f t="shared" si="34"/>
        <x:v>0</x:v>
      </x:c>
      <x:c r="S123" s="69">
        <x:f t="shared" si="34"/>
        <x:v>0</x:v>
      </x:c>
      <x:c r="T123" s="69">
        <x:f t="shared" si="34"/>
        <x:v>0</x:v>
      </x:c>
      <x:c r="U123" s="69">
        <x:f t="shared" si="34"/>
        <x:v>0</x:v>
      </x:c>
      <x:c r="V123" s="69">
        <x:f t="shared" si="34"/>
        <x:v>0</x:v>
      </x:c>
      <x:c r="W123" s="69">
        <x:f t="shared" si="34"/>
        <x:v>0</x:v>
      </x:c>
      <x:c r="X123" s="69">
        <x:f t="shared" si="34"/>
        <x:v>0</x:v>
      </x:c>
      <x:c r="Y123" s="69">
        <x:f t="shared" si="34"/>
        <x:v>0</x:v>
      </x:c>
      <x:c r="Z123" s="69">
        <x:f t="shared" si="34"/>
        <x:v>0</x:v>
      </x:c>
    </x:row>
    <x:row r="124" ht="15" hidden="1" customHeight="1">
      <x:c r="A124" s="67" t="s">
        <x:v>445</x:v>
      </x:c>
      <x:c r="B124" s="68" t="n">
        <x:f>-$I$85</x:f>
        <x:v>-400000000</x:v>
      </x:c>
      <x:c r="C124" s="68" t="n">
        <x:f t="shared" ref="C124:Z124" si="35">C123*($B$85-$C$85)-C122*$G$85-$H$85</x:f>
        <x:v>-258047918.3616</x:v>
      </x:c>
      <x:c r="D124" s="68">
        <x:f t="shared" si="35"/>
        <x:v>0</x:v>
      </x:c>
      <x:c r="E124" s="68">
        <x:f t="shared" si="35"/>
        <x:v>0</x:v>
      </x:c>
      <x:c r="F124" s="68">
        <x:f t="shared" si="35"/>
        <x:v>0</x:v>
      </x:c>
      <x:c r="G124" s="68">
        <x:f t="shared" si="35"/>
        <x:v>0</x:v>
      </x:c>
      <x:c r="H124" s="68">
        <x:f t="shared" si="35"/>
        <x:v>0</x:v>
      </x:c>
      <x:c r="I124" s="68">
        <x:f t="shared" si="35"/>
        <x:v>0</x:v>
      </x:c>
      <x:c r="J124" s="68">
        <x:f t="shared" si="35"/>
        <x:v>0</x:v>
      </x:c>
      <x:c r="K124" s="68">
        <x:f t="shared" si="35"/>
        <x:v>0</x:v>
      </x:c>
      <x:c r="L124" s="68">
        <x:f t="shared" si="35"/>
        <x:v>0</x:v>
      </x:c>
      <x:c r="M124" s="68">
        <x:f t="shared" si="35"/>
        <x:v>0</x:v>
      </x:c>
      <x:c r="N124" s="68">
        <x:f t="shared" si="35"/>
        <x:v>0</x:v>
      </x:c>
      <x:c r="O124" s="68">
        <x:f t="shared" si="35"/>
        <x:v>0</x:v>
      </x:c>
      <x:c r="P124" s="68">
        <x:f t="shared" si="35"/>
        <x:v>0</x:v>
      </x:c>
      <x:c r="Q124" s="68">
        <x:f t="shared" si="35"/>
        <x:v>0</x:v>
      </x:c>
      <x:c r="R124" s="68">
        <x:f t="shared" si="35"/>
        <x:v>0</x:v>
      </x:c>
      <x:c r="S124" s="68">
        <x:f t="shared" si="35"/>
        <x:v>0</x:v>
      </x:c>
      <x:c r="T124" s="68">
        <x:f t="shared" si="35"/>
        <x:v>0</x:v>
      </x:c>
      <x:c r="U124" s="68">
        <x:f t="shared" si="35"/>
        <x:v>0</x:v>
      </x:c>
      <x:c r="V124" s="68">
        <x:f t="shared" si="35"/>
        <x:v>0</x:v>
      </x:c>
      <x:c r="W124" s="68">
        <x:f t="shared" si="35"/>
        <x:v>0</x:v>
      </x:c>
      <x:c r="X124" s="68">
        <x:f t="shared" si="35"/>
        <x:v>0</x:v>
      </x:c>
      <x:c r="Y124" s="68">
        <x:f t="shared" si="35"/>
        <x:v>0</x:v>
      </x:c>
      <x:c r="Z124" s="68">
        <x:f t="shared" si="35"/>
        <x:v>0</x:v>
      </x:c>
    </x:row>
    <x:row r="125" ht="15" hidden="1" customHeight="1">
      <x:c r="A125" s="67" t="s">
        <x:v>446</x:v>
      </x:c>
      <x:c r="B125" s="68" t="n">
        <x:f>$J$85+B124</x:f>
        <x:v>1100000000</x:v>
      </x:c>
      <x:c r="C125" s="68" t="n">
        <x:f t="shared" ref="C125:Z125" si="36">B125+C124</x:f>
        <x:v>841952081.6384</x:v>
      </x:c>
      <x:c r="D125" s="68">
        <x:f t="shared" si="36"/>
        <x:v>0</x:v>
      </x:c>
      <x:c r="E125" s="68">
        <x:f t="shared" si="36"/>
        <x:v>0</x:v>
      </x:c>
      <x:c r="F125" s="68">
        <x:f t="shared" si="36"/>
        <x:v>0</x:v>
      </x:c>
      <x:c r="G125" s="68">
        <x:f t="shared" si="36"/>
        <x:v>0</x:v>
      </x:c>
      <x:c r="H125" s="68">
        <x:f t="shared" si="36"/>
        <x:v>0</x:v>
      </x:c>
      <x:c r="I125" s="68">
        <x:f t="shared" si="36"/>
        <x:v>0</x:v>
      </x:c>
      <x:c r="J125" s="68">
        <x:f t="shared" si="36"/>
        <x:v>0</x:v>
      </x:c>
      <x:c r="K125" s="68">
        <x:f t="shared" si="36"/>
        <x:v>0</x:v>
      </x:c>
      <x:c r="L125" s="68">
        <x:f t="shared" si="36"/>
        <x:v>0</x:v>
      </x:c>
      <x:c r="M125" s="68">
        <x:f t="shared" si="36"/>
        <x:v>0</x:v>
      </x:c>
      <x:c r="N125" s="68">
        <x:f t="shared" si="36"/>
        <x:v>0</x:v>
      </x:c>
      <x:c r="O125" s="68">
        <x:f t="shared" si="36"/>
        <x:v>0</x:v>
      </x:c>
      <x:c r="P125" s="68">
        <x:f t="shared" si="36"/>
        <x:v>0</x:v>
      </x:c>
      <x:c r="Q125" s="68">
        <x:f t="shared" si="36"/>
        <x:v>0</x:v>
      </x:c>
      <x:c r="R125" s="68">
        <x:f t="shared" si="36"/>
        <x:v>0</x:v>
      </x:c>
      <x:c r="S125" s="68">
        <x:f t="shared" si="36"/>
        <x:v>0</x:v>
      </x:c>
      <x:c r="T125" s="68">
        <x:f t="shared" si="36"/>
        <x:v>0</x:v>
      </x:c>
      <x:c r="U125" s="68">
        <x:f t="shared" si="36"/>
        <x:v>0</x:v>
      </x:c>
      <x:c r="V125" s="68">
        <x:f t="shared" si="36"/>
        <x:v>0</x:v>
      </x:c>
      <x:c r="W125" s="68">
        <x:f t="shared" si="36"/>
        <x:v>0</x:v>
      </x:c>
      <x:c r="X125" s="68">
        <x:f t="shared" si="36"/>
        <x:v>0</x:v>
      </x:c>
      <x:c r="Y125" s="68">
        <x:f t="shared" si="36"/>
        <x:v>0</x:v>
      </x:c>
      <x:c r="Z125" s="68">
        <x:f t="shared" si="36"/>
        <x:v>0</x:v>
      </x:c>
    </x:row>
    <x:row r="126" ht="15" hidden="1" customHeight="1">
      <x:c r="A126" s="67" t="s">
        <x:v>447</x:v>
      </x:c>
      <x:c r="B126" s="68" t="n">
        <x:f>B124</x:f>
        <x:v>-400000000</x:v>
      </x:c>
      <x:c r="C126" s="68" t="n">
        <x:f t="shared" ref="C126:Z126" si="37">B126+C124</x:f>
        <x:v>-658047918.3616</x:v>
      </x:c>
      <x:c r="D126" s="68">
        <x:f t="shared" si="37"/>
        <x:v>0</x:v>
      </x:c>
      <x:c r="E126" s="68">
        <x:f t="shared" si="37"/>
        <x:v>0</x:v>
      </x:c>
      <x:c r="F126" s="68">
        <x:f t="shared" si="37"/>
        <x:v>0</x:v>
      </x:c>
      <x:c r="G126" s="68">
        <x:f t="shared" si="37"/>
        <x:v>0</x:v>
      </x:c>
      <x:c r="H126" s="68">
        <x:f t="shared" si="37"/>
        <x:v>0</x:v>
      </x:c>
      <x:c r="I126" s="68">
        <x:f t="shared" si="37"/>
        <x:v>0</x:v>
      </x:c>
      <x:c r="J126" s="68">
        <x:f t="shared" si="37"/>
        <x:v>0</x:v>
      </x:c>
      <x:c r="K126" s="68">
        <x:f t="shared" si="37"/>
        <x:v>0</x:v>
      </x:c>
      <x:c r="L126" s="68">
        <x:f t="shared" si="37"/>
        <x:v>0</x:v>
      </x:c>
      <x:c r="M126" s="68">
        <x:f t="shared" si="37"/>
        <x:v>0</x:v>
      </x:c>
      <x:c r="N126" s="68">
        <x:f t="shared" si="37"/>
        <x:v>0</x:v>
      </x:c>
      <x:c r="O126" s="68">
        <x:f t="shared" si="37"/>
        <x:v>0</x:v>
      </x:c>
      <x:c r="P126" s="68">
        <x:f t="shared" si="37"/>
        <x:v>0</x:v>
      </x:c>
      <x:c r="Q126" s="68">
        <x:f t="shared" si="37"/>
        <x:v>0</x:v>
      </x:c>
      <x:c r="R126" s="68">
        <x:f t="shared" si="37"/>
        <x:v>0</x:v>
      </x:c>
      <x:c r="S126" s="68">
        <x:f t="shared" si="37"/>
        <x:v>0</x:v>
      </x:c>
      <x:c r="T126" s="68">
        <x:f t="shared" si="37"/>
        <x:v>0</x:v>
      </x:c>
      <x:c r="U126" s="68">
        <x:f t="shared" si="37"/>
        <x:v>0</x:v>
      </x:c>
      <x:c r="V126" s="68">
        <x:f t="shared" si="37"/>
        <x:v>0</x:v>
      </x:c>
      <x:c r="W126" s="68">
        <x:f t="shared" si="37"/>
        <x:v>0</x:v>
      </x:c>
      <x:c r="X126" s="68">
        <x:f t="shared" si="37"/>
        <x:v>0</x:v>
      </x:c>
      <x:c r="Y126" s="68">
        <x:f t="shared" si="37"/>
        <x:v>0</x:v>
      </x:c>
      <x:c r="Z126" s="68">
        <x:f t="shared" si="37"/>
        <x:v>0</x:v>
      </x:c>
    </x:row>
    <x:row r="127" ht="15" hidden="1" customHeight="1"/>
    <x:row r="128" ht="15" hidden="1" customHeight="1">
      <x:c r="A128" s="67" t="s">
        <x:v>448</x:v>
      </x:c>
      <x:c r="C128" s="69" t="n">
        <x:f>$D$86*(1+$E$86)^0</x:f>
        <x:v>300</x:v>
      </x:c>
      <x:c r="D128" s="69" t="n">
        <x:f>$D$86*(1+$E$86)^1</x:f>
        <x:v>319.20000000000005</x:v>
      </x:c>
      <x:c r="E128" s="69" t="n">
        <x:f>$D$86*(1+$E$86)^2</x:f>
        <x:v>339.62880000000007</x:v>
      </x:c>
      <x:c r="F128" s="69" t="n">
        <x:f>$D$86*(1+$E$86)^3</x:f>
        <x:v>361.3650432000001</x:v>
      </x:c>
      <x:c r="G128" s="69" t="n">
        <x:f>$D$86*(1+$E$86)^4</x:f>
        <x:v>384.4924059648001</x:v>
      </x:c>
      <x:c r="H128" s="69" t="n">
        <x:f>$D$86*(1+$E$86)^5</x:f>
        <x:v>409.0999199465474</x:v>
      </x:c>
      <x:c r="I128" s="69" t="n">
        <x:f>$D$86*(1+$E$86)^6</x:f>
        <x:v>435.28231482312646</x:v>
      </x:c>
      <x:c r="J128" s="69" t="n">
        <x:f>$D$86*(1+$E$86)^7</x:f>
        <x:v>463.1403829718066</x:v>
      </x:c>
      <x:c r="K128" s="69" t="n">
        <x:f>$D$86*(1+$E$86)^8</x:f>
        <x:v>492.7813674820022</x:v>
      </x:c>
      <x:c r="L128" s="69" t="n">
        <x:f>$D$86*(1+$E$86)^9</x:f>
        <x:v>524.3193750008504</x:v>
      </x:c>
      <x:c r="M128" s="69" t="n">
        <x:f>$D$86*(1+$E$86)^10</x:f>
        <x:v>557.8758150009049</x:v>
      </x:c>
      <x:c r="N128" s="69" t="n">
        <x:f>$D$86*(1+$E$86)^11</x:f>
        <x:v>593.579867160963</x:v>
      </x:c>
      <x:c r="O128" s="69" t="n">
        <x:f>$D$86*(1+$E$86)^12</x:f>
        <x:v>631.5689786592646</x:v>
      </x:c>
      <x:c r="P128" s="69" t="n">
        <x:f>$D$86*(1+$E$86)^13</x:f>
        <x:v>671.9893932934575</x:v>
      </x:c>
      <x:c r="Q128" s="69" t="n">
        <x:f>$D$86*(1+$E$86)^14</x:f>
        <x:v>714.996714464239</x:v>
      </x:c>
      <x:c r="R128" s="69" t="n">
        <x:f>$D$86*(1+$E$86)^15</x:f>
        <x:v>760.7565041899503</x:v>
      </x:c>
      <x:c r="S128" s="69" t="n">
        <x:f>$D$86*(1+$E$86)^16</x:f>
        <x:v>809.4449204581072</x:v>
      </x:c>
      <x:c r="T128" s="69" t="n">
        <x:f>$D$86*(1+$E$86)^17</x:f>
        <x:v>861.249395367426</x:v>
      </x:c>
      <x:c r="U128" s="69" t="n">
        <x:f>$D$86*(1+$E$86)^18</x:f>
        <x:v>916.3693566709416</x:v>
      </x:c>
      <x:c r="V128" s="69" t="n">
        <x:f>$D$86*(1+$E$86)^19</x:f>
        <x:v>975.0169954978818</x:v>
      </x:c>
      <x:c r="W128" s="69" t="n">
        <x:f>$D$86*(1+$E$86)^20</x:f>
        <x:v>1037.4180832097463</x:v>
      </x:c>
      <x:c r="X128" s="69" t="n">
        <x:f>$D$86*(1+$E$86)^21</x:f>
        <x:v>1103.8128405351704</x:v>
      </x:c>
      <x:c r="Y128" s="69" t="n">
        <x:f>$D$86*(1+$E$86)^22</x:f>
        <x:v>1174.4568623294213</x:v>
      </x:c>
      <x:c r="Z128" s="69" t="n">
        <x:f>$D$86*(1+$E$86)^23</x:f>
        <x:v>1249.6221015185042</x:v>
      </x:c>
    </x:row>
    <x:row r="129" ht="15" hidden="1" customHeight="1">
      <x:c r="A129" s="67" t="s">
        <x:v>449</x:v>
      </x:c>
      <x:c r="B129" s="67">
        <x:v>0</x:v>
      </x:c>
      <x:c r="C129" s="69" t="n">
        <x:f t="shared" ref="C129:Z129" si="38">B129*(1-$F$86)+C128</x:f>
        <x:v>300</x:v>
      </x:c>
      <x:c r="D129" s="69">
        <x:f t="shared" si="38"/>
        <x:v>0</x:v>
      </x:c>
      <x:c r="E129" s="69">
        <x:f t="shared" si="38"/>
        <x:v>0</x:v>
      </x:c>
      <x:c r="F129" s="69">
        <x:f t="shared" si="38"/>
        <x:v>0</x:v>
      </x:c>
      <x:c r="G129" s="69">
        <x:f t="shared" si="38"/>
        <x:v>0</x:v>
      </x:c>
      <x:c r="H129" s="69">
        <x:f t="shared" si="38"/>
        <x:v>0</x:v>
      </x:c>
      <x:c r="I129" s="69">
        <x:f t="shared" si="38"/>
        <x:v>0</x:v>
      </x:c>
      <x:c r="J129" s="69">
        <x:f t="shared" si="38"/>
        <x:v>0</x:v>
      </x:c>
      <x:c r="K129" s="69">
        <x:f t="shared" si="38"/>
        <x:v>0</x:v>
      </x:c>
      <x:c r="L129" s="69">
        <x:f t="shared" si="38"/>
        <x:v>0</x:v>
      </x:c>
      <x:c r="M129" s="69">
        <x:f t="shared" si="38"/>
        <x:v>0</x:v>
      </x:c>
      <x:c r="N129" s="69">
        <x:f t="shared" si="38"/>
        <x:v>0</x:v>
      </x:c>
      <x:c r="O129" s="69">
        <x:f t="shared" si="38"/>
        <x:v>0</x:v>
      </x:c>
      <x:c r="P129" s="69">
        <x:f t="shared" si="38"/>
        <x:v>0</x:v>
      </x:c>
      <x:c r="Q129" s="69">
        <x:f t="shared" si="38"/>
        <x:v>0</x:v>
      </x:c>
      <x:c r="R129" s="69">
        <x:f t="shared" si="38"/>
        <x:v>0</x:v>
      </x:c>
      <x:c r="S129" s="69">
        <x:f t="shared" si="38"/>
        <x:v>0</x:v>
      </x:c>
      <x:c r="T129" s="69">
        <x:f t="shared" si="38"/>
        <x:v>0</x:v>
      </x:c>
      <x:c r="U129" s="69">
        <x:f t="shared" si="38"/>
        <x:v>0</x:v>
      </x:c>
      <x:c r="V129" s="69">
        <x:f t="shared" si="38"/>
        <x:v>0</x:v>
      </x:c>
      <x:c r="W129" s="69">
        <x:f t="shared" si="38"/>
        <x:v>0</x:v>
      </x:c>
      <x:c r="X129" s="69">
        <x:f t="shared" si="38"/>
        <x:v>0</x:v>
      </x:c>
      <x:c r="Y129" s="69">
        <x:f t="shared" si="38"/>
        <x:v>0</x:v>
      </x:c>
      <x:c r="Z129" s="69">
        <x:f t="shared" si="38"/>
        <x:v>0</x:v>
      </x:c>
    </x:row>
    <x:row r="130" ht="15" hidden="1" customHeight="1">
      <x:c r="A130" s="67" t="s">
        <x:v>450</x:v>
      </x:c>
      <x:c r="B130" s="68" t="n">
        <x:f>-$I$86</x:f>
        <x:v>-400000000</x:v>
      </x:c>
      <x:c r="C130" s="68" t="n">
        <x:f t="shared" ref="C130:Z130" si="39">C129*($B$86-$C$86)-C128*$G$86-$H$86</x:f>
        <x:v>-292559897.952</x:v>
      </x:c>
      <x:c r="D130" s="68">
        <x:f t="shared" si="39"/>
        <x:v>0</x:v>
      </x:c>
      <x:c r="E130" s="68">
        <x:f t="shared" si="39"/>
        <x:v>0</x:v>
      </x:c>
      <x:c r="F130" s="68">
        <x:f t="shared" si="39"/>
        <x:v>0</x:v>
      </x:c>
      <x:c r="G130" s="68">
        <x:f t="shared" si="39"/>
        <x:v>0</x:v>
      </x:c>
      <x:c r="H130" s="68">
        <x:f t="shared" si="39"/>
        <x:v>0</x:v>
      </x:c>
      <x:c r="I130" s="68">
        <x:f t="shared" si="39"/>
        <x:v>0</x:v>
      </x:c>
      <x:c r="J130" s="68">
        <x:f t="shared" si="39"/>
        <x:v>0</x:v>
      </x:c>
      <x:c r="K130" s="68">
        <x:f t="shared" si="39"/>
        <x:v>0</x:v>
      </x:c>
      <x:c r="L130" s="68">
        <x:f t="shared" si="39"/>
        <x:v>0</x:v>
      </x:c>
      <x:c r="M130" s="68">
        <x:f t="shared" si="39"/>
        <x:v>0</x:v>
      </x:c>
      <x:c r="N130" s="68">
        <x:f t="shared" si="39"/>
        <x:v>0</x:v>
      </x:c>
      <x:c r="O130" s="68">
        <x:f t="shared" si="39"/>
        <x:v>0</x:v>
      </x:c>
      <x:c r="P130" s="68">
        <x:f t="shared" si="39"/>
        <x:v>0</x:v>
      </x:c>
      <x:c r="Q130" s="68">
        <x:f t="shared" si="39"/>
        <x:v>0</x:v>
      </x:c>
      <x:c r="R130" s="68">
        <x:f t="shared" si="39"/>
        <x:v>0</x:v>
      </x:c>
      <x:c r="S130" s="68">
        <x:f t="shared" si="39"/>
        <x:v>0</x:v>
      </x:c>
      <x:c r="T130" s="68">
        <x:f t="shared" si="39"/>
        <x:v>0</x:v>
      </x:c>
      <x:c r="U130" s="68">
        <x:f t="shared" si="39"/>
        <x:v>0</x:v>
      </x:c>
      <x:c r="V130" s="68">
        <x:f t="shared" si="39"/>
        <x:v>0</x:v>
      </x:c>
      <x:c r="W130" s="68">
        <x:f t="shared" si="39"/>
        <x:v>0</x:v>
      </x:c>
      <x:c r="X130" s="68">
        <x:f t="shared" si="39"/>
        <x:v>0</x:v>
      </x:c>
      <x:c r="Y130" s="68">
        <x:f t="shared" si="39"/>
        <x:v>0</x:v>
      </x:c>
      <x:c r="Z130" s="68">
        <x:f t="shared" si="39"/>
        <x:v>0</x:v>
      </x:c>
    </x:row>
    <x:row r="131" ht="15" hidden="1" customHeight="1">
      <x:c r="A131" s="67" t="s">
        <x:v>451</x:v>
      </x:c>
      <x:c r="B131" s="68" t="n">
        <x:f>$J$86+B130</x:f>
        <x:v>1100000000</x:v>
      </x:c>
      <x:c r="C131" s="68" t="n">
        <x:f t="shared" ref="C131:Z131" si="40">B131+C130</x:f>
        <x:v>807440102.048</x:v>
      </x:c>
      <x:c r="D131" s="68">
        <x:f t="shared" si="40"/>
        <x:v>0</x:v>
      </x:c>
      <x:c r="E131" s="68">
        <x:f t="shared" si="40"/>
        <x:v>0</x:v>
      </x:c>
      <x:c r="F131" s="68">
        <x:f t="shared" si="40"/>
        <x:v>0</x:v>
      </x:c>
      <x:c r="G131" s="68">
        <x:f t="shared" si="40"/>
        <x:v>0</x:v>
      </x:c>
      <x:c r="H131" s="68">
        <x:f t="shared" si="40"/>
        <x:v>0</x:v>
      </x:c>
      <x:c r="I131" s="68">
        <x:f t="shared" si="40"/>
        <x:v>0</x:v>
      </x:c>
      <x:c r="J131" s="68">
        <x:f t="shared" si="40"/>
        <x:v>0</x:v>
      </x:c>
      <x:c r="K131" s="68">
        <x:f t="shared" si="40"/>
        <x:v>0</x:v>
      </x:c>
      <x:c r="L131" s="68">
        <x:f t="shared" si="40"/>
        <x:v>0</x:v>
      </x:c>
      <x:c r="M131" s="68">
        <x:f t="shared" si="40"/>
        <x:v>0</x:v>
      </x:c>
      <x:c r="N131" s="68">
        <x:f t="shared" si="40"/>
        <x:v>0</x:v>
      </x:c>
      <x:c r="O131" s="68">
        <x:f t="shared" si="40"/>
        <x:v>0</x:v>
      </x:c>
      <x:c r="P131" s="68">
        <x:f t="shared" si="40"/>
        <x:v>0</x:v>
      </x:c>
      <x:c r="Q131" s="68">
        <x:f t="shared" si="40"/>
        <x:v>0</x:v>
      </x:c>
      <x:c r="R131" s="68">
        <x:f t="shared" si="40"/>
        <x:v>0</x:v>
      </x:c>
      <x:c r="S131" s="68">
        <x:f t="shared" si="40"/>
        <x:v>0</x:v>
      </x:c>
      <x:c r="T131" s="68">
        <x:f t="shared" si="40"/>
        <x:v>0</x:v>
      </x:c>
      <x:c r="U131" s="68">
        <x:f t="shared" si="40"/>
        <x:v>0</x:v>
      </x:c>
      <x:c r="V131" s="68">
        <x:f t="shared" si="40"/>
        <x:v>0</x:v>
      </x:c>
      <x:c r="W131" s="68">
        <x:f t="shared" si="40"/>
        <x:v>0</x:v>
      </x:c>
      <x:c r="X131" s="68">
        <x:f t="shared" si="40"/>
        <x:v>0</x:v>
      </x:c>
      <x:c r="Y131" s="68">
        <x:f t="shared" si="40"/>
        <x:v>0</x:v>
      </x:c>
      <x:c r="Z131" s="68">
        <x:f t="shared" si="40"/>
        <x:v>0</x:v>
      </x:c>
    </x:row>
    <x:row r="132" ht="15" hidden="1" customHeight="1">
      <x:c r="A132" s="67" t="s">
        <x:v>452</x:v>
      </x:c>
      <x:c r="B132" s="68" t="n">
        <x:f>B130</x:f>
        <x:v>-400000000</x:v>
      </x:c>
      <x:c r="C132" s="68" t="n">
        <x:f t="shared" ref="C132:Z132" si="41">B132+C130</x:f>
        <x:v>-692559897.952</x:v>
      </x:c>
      <x:c r="D132" s="68">
        <x:f t="shared" si="41"/>
        <x:v>0</x:v>
      </x:c>
      <x:c r="E132" s="68">
        <x:f t="shared" si="41"/>
        <x:v>0</x:v>
      </x:c>
      <x:c r="F132" s="68">
        <x:f t="shared" si="41"/>
        <x:v>0</x:v>
      </x:c>
      <x:c r="G132" s="68">
        <x:f t="shared" si="41"/>
        <x:v>0</x:v>
      </x:c>
      <x:c r="H132" s="68">
        <x:f t="shared" si="41"/>
        <x:v>0</x:v>
      </x:c>
      <x:c r="I132" s="68">
        <x:f t="shared" si="41"/>
        <x:v>0</x:v>
      </x:c>
      <x:c r="J132" s="68">
        <x:f t="shared" si="41"/>
        <x:v>0</x:v>
      </x:c>
      <x:c r="K132" s="68">
        <x:f t="shared" si="41"/>
        <x:v>0</x:v>
      </x:c>
      <x:c r="L132" s="68">
        <x:f t="shared" si="41"/>
        <x:v>0</x:v>
      </x:c>
      <x:c r="M132" s="68">
        <x:f t="shared" si="41"/>
        <x:v>0</x:v>
      </x:c>
      <x:c r="N132" s="68">
        <x:f t="shared" si="41"/>
        <x:v>0</x:v>
      </x:c>
      <x:c r="O132" s="68">
        <x:f t="shared" si="41"/>
        <x:v>0</x:v>
      </x:c>
      <x:c r="P132" s="68">
        <x:f t="shared" si="41"/>
        <x:v>0</x:v>
      </x:c>
      <x:c r="Q132" s="68">
        <x:f t="shared" si="41"/>
        <x:v>0</x:v>
      </x:c>
      <x:c r="R132" s="68">
        <x:f t="shared" si="41"/>
        <x:v>0</x:v>
      </x:c>
      <x:c r="S132" s="68">
        <x:f t="shared" si="41"/>
        <x:v>0</x:v>
      </x:c>
      <x:c r="T132" s="68">
        <x:f t="shared" si="41"/>
        <x:v>0</x:v>
      </x:c>
      <x:c r="U132" s="68">
        <x:f t="shared" si="41"/>
        <x:v>0</x:v>
      </x:c>
      <x:c r="V132" s="68">
        <x:f t="shared" si="41"/>
        <x:v>0</x:v>
      </x:c>
      <x:c r="W132" s="68">
        <x:f t="shared" si="41"/>
        <x:v>0</x:v>
      </x:c>
      <x:c r="X132" s="68">
        <x:f t="shared" si="41"/>
        <x:v>0</x:v>
      </x:c>
      <x:c r="Y132" s="68">
        <x:f t="shared" si="41"/>
        <x:v>0</x:v>
      </x:c>
      <x:c r="Z132" s="68">
        <x:f t="shared" si="41"/>
        <x:v>0</x:v>
      </x:c>
    </x:row>
    <x:row r="133" ht="15" hidden="1" customHeight="1"/>
    <x:row r="134" ht="15" hidden="1" customHeight="1">
      <x:c r="A134" s="67" t="s">
        <x:v>453</x:v>
      </x:c>
      <x:c r="C134" s="69" t="n">
        <x:f>$D$87*(1+$E$87)^0</x:f>
        <x:v>300</x:v>
      </x:c>
      <x:c r="D134" s="69" t="n">
        <x:f>$D$87*(1+$E$87)^1</x:f>
        <x:v>324</x:v>
      </x:c>
      <x:c r="E134" s="69" t="n">
        <x:f>$D$87*(1+$E$87)^2</x:f>
        <x:v>349.92</x:v>
      </x:c>
      <x:c r="F134" s="69" t="n">
        <x:f>$D$87*(1+$E$87)^3</x:f>
        <x:v>377.91360000000003</x:v>
      </x:c>
      <x:c r="G134" s="69" t="n">
        <x:f>$D$87*(1+$E$87)^4</x:f>
        <x:v>408.1466880000001</x:v>
      </x:c>
      <x:c r="H134" s="69" t="n">
        <x:f>$D$87*(1+$E$87)^5</x:f>
        <x:v>440.7984230400001</x:v>
      </x:c>
      <x:c r="I134" s="69" t="n">
        <x:f>$D$87*(1+$E$87)^6</x:f>
        <x:v>476.0622968832002</x:v>
      </x:c>
      <x:c r="J134" s="69" t="n">
        <x:f>$D$87*(1+$E$87)^7</x:f>
        <x:v>514.1472806338562</x:v>
      </x:c>
      <x:c r="K134" s="69" t="n">
        <x:f>$D$87*(1+$E$87)^8</x:f>
        <x:v>555.2790630845647</x:v>
      </x:c>
      <x:c r="L134" s="69" t="n">
        <x:f>$D$87*(1+$E$87)^9</x:f>
        <x:v>599.70138813133</x:v>
      </x:c>
      <x:c r="M134" s="69" t="n">
        <x:f>$D$87*(1+$E$87)^10</x:f>
        <x:v>647.6774991818363</x:v>
      </x:c>
      <x:c r="N134" s="69" t="n">
        <x:f>$D$87*(1+$E$87)^11</x:f>
        <x:v>699.4916991163832</x:v>
      </x:c>
      <x:c r="O134" s="69" t="n">
        <x:f>$D$87*(1+$E$87)^12</x:f>
        <x:v>755.451035045694</x:v>
      </x:c>
      <x:c r="P134" s="69" t="n">
        <x:f>$D$87*(1+$E$87)^13</x:f>
        <x:v>815.8871178493495</x:v>
      </x:c>
      <x:c r="Q134" s="69" t="n">
        <x:f>$D$87*(1+$E$87)^14</x:f>
        <x:v>881.1580872772976</x:v>
      </x:c>
      <x:c r="R134" s="69" t="n">
        <x:f>$D$87*(1+$E$87)^15</x:f>
        <x:v>951.6507342594815</x:v>
      </x:c>
      <x:c r="S134" s="69" t="n">
        <x:f>$D$87*(1+$E$87)^16</x:f>
        <x:v>1027.78279300024</x:v>
      </x:c>
      <x:c r="T134" s="69" t="n">
        <x:f>$D$87*(1+$E$87)^17</x:f>
        <x:v>1110.005416440259</x:v>
      </x:c>
      <x:c r="U134" s="69" t="n">
        <x:f>$D$87*(1+$E$87)^18</x:f>
        <x:v>1198.80584975548</x:v>
      </x:c>
      <x:c r="V134" s="69" t="n">
        <x:f>$D$87*(1+$E$87)^19</x:f>
        <x:v>1294.7103177359186</x:v>
      </x:c>
      <x:c r="W134" s="69" t="n">
        <x:f>$D$87*(1+$E$87)^20</x:f>
        <x:v>1398.287143154792</x:v>
      </x:c>
      <x:c r="X134" s="69" t="n">
        <x:f>$D$87*(1+$E$87)^21</x:f>
        <x:v>1510.1501146071753</x:v>
      </x:c>
      <x:c r="Y134" s="69" t="n">
        <x:f>$D$87*(1+$E$87)^22</x:f>
        <x:v>1630.9621237757497</x:v>
      </x:c>
      <x:c r="Z134" s="69" t="n">
        <x:f>$D$87*(1+$E$87)^23</x:f>
        <x:v>1761.4390936778095</x:v>
      </x:c>
    </x:row>
    <x:row r="135" ht="15" hidden="1" customHeight="1">
      <x:c r="A135" s="67" t="s">
        <x:v>454</x:v>
      </x:c>
      <x:c r="B135" s="67">
        <x:v>0</x:v>
      </x:c>
      <x:c r="C135" s="69" t="n">
        <x:f t="shared" ref="C135:Z135" si="42">B135*(1-$F$87)+C134</x:f>
        <x:v>300</x:v>
      </x:c>
      <x:c r="D135" s="69">
        <x:f t="shared" si="42"/>
        <x:v>0</x:v>
      </x:c>
      <x:c r="E135" s="69">
        <x:f t="shared" si="42"/>
        <x:v>0</x:v>
      </x:c>
      <x:c r="F135" s="69">
        <x:f t="shared" si="42"/>
        <x:v>0</x:v>
      </x:c>
      <x:c r="G135" s="69">
        <x:f t="shared" si="42"/>
        <x:v>0</x:v>
      </x:c>
      <x:c r="H135" s="69">
        <x:f t="shared" si="42"/>
        <x:v>0</x:v>
      </x:c>
      <x:c r="I135" s="69">
        <x:f t="shared" si="42"/>
        <x:v>0</x:v>
      </x:c>
      <x:c r="J135" s="69">
        <x:f t="shared" si="42"/>
        <x:v>0</x:v>
      </x:c>
      <x:c r="K135" s="69">
        <x:f t="shared" si="42"/>
        <x:v>0</x:v>
      </x:c>
      <x:c r="L135" s="69">
        <x:f t="shared" si="42"/>
        <x:v>0</x:v>
      </x:c>
      <x:c r="M135" s="69">
        <x:f t="shared" si="42"/>
        <x:v>0</x:v>
      </x:c>
      <x:c r="N135" s="69">
        <x:f t="shared" si="42"/>
        <x:v>0</x:v>
      </x:c>
      <x:c r="O135" s="69">
        <x:f t="shared" si="42"/>
        <x:v>0</x:v>
      </x:c>
      <x:c r="P135" s="69">
        <x:f t="shared" si="42"/>
        <x:v>0</x:v>
      </x:c>
      <x:c r="Q135" s="69">
        <x:f t="shared" si="42"/>
        <x:v>0</x:v>
      </x:c>
      <x:c r="R135" s="69">
        <x:f t="shared" si="42"/>
        <x:v>0</x:v>
      </x:c>
      <x:c r="S135" s="69">
        <x:f t="shared" si="42"/>
        <x:v>0</x:v>
      </x:c>
      <x:c r="T135" s="69">
        <x:f t="shared" si="42"/>
        <x:v>0</x:v>
      </x:c>
      <x:c r="U135" s="69">
        <x:f t="shared" si="42"/>
        <x:v>0</x:v>
      </x:c>
      <x:c r="V135" s="69">
        <x:f t="shared" si="42"/>
        <x:v>0</x:v>
      </x:c>
      <x:c r="W135" s="69">
        <x:f t="shared" si="42"/>
        <x:v>0</x:v>
      </x:c>
      <x:c r="X135" s="69">
        <x:f t="shared" si="42"/>
        <x:v>0</x:v>
      </x:c>
      <x:c r="Y135" s="69">
        <x:f t="shared" si="42"/>
        <x:v>0</x:v>
      </x:c>
      <x:c r="Z135" s="69">
        <x:f t="shared" si="42"/>
        <x:v>0</x:v>
      </x:c>
    </x:row>
    <x:row r="136" ht="15" hidden="1" customHeight="1">
      <x:c r="A136" s="67" t="s">
        <x:v>455</x:v>
      </x:c>
      <x:c r="B136" s="68" t="n">
        <x:f>-$I$87</x:f>
        <x:v>-400000000</x:v>
      </x:c>
      <x:c r="C136" s="68" t="n">
        <x:f t="shared" ref="C136:Z136" si="43">C135*($B$87-$C$87)-C134*$G$87-$H$87</x:f>
        <x:v>-316559897.952</x:v>
      </x:c>
      <x:c r="D136" s="68">
        <x:f t="shared" si="43"/>
        <x:v>0</x:v>
      </x:c>
      <x:c r="E136" s="68">
        <x:f t="shared" si="43"/>
        <x:v>0</x:v>
      </x:c>
      <x:c r="F136" s="68">
        <x:f t="shared" si="43"/>
        <x:v>0</x:v>
      </x:c>
      <x:c r="G136" s="68">
        <x:f t="shared" si="43"/>
        <x:v>0</x:v>
      </x:c>
      <x:c r="H136" s="68">
        <x:f t="shared" si="43"/>
        <x:v>0</x:v>
      </x:c>
      <x:c r="I136" s="68">
        <x:f t="shared" si="43"/>
        <x:v>0</x:v>
      </x:c>
      <x:c r="J136" s="68">
        <x:f t="shared" si="43"/>
        <x:v>0</x:v>
      </x:c>
      <x:c r="K136" s="68">
        <x:f t="shared" si="43"/>
        <x:v>0</x:v>
      </x:c>
      <x:c r="L136" s="68">
        <x:f t="shared" si="43"/>
        <x:v>0</x:v>
      </x:c>
      <x:c r="M136" s="68">
        <x:f t="shared" si="43"/>
        <x:v>0</x:v>
      </x:c>
      <x:c r="N136" s="68">
        <x:f t="shared" si="43"/>
        <x:v>0</x:v>
      </x:c>
      <x:c r="O136" s="68">
        <x:f t="shared" si="43"/>
        <x:v>0</x:v>
      </x:c>
      <x:c r="P136" s="68">
        <x:f t="shared" si="43"/>
        <x:v>0</x:v>
      </x:c>
      <x:c r="Q136" s="68">
        <x:f t="shared" si="43"/>
        <x:v>0</x:v>
      </x:c>
      <x:c r="R136" s="68">
        <x:f t="shared" si="43"/>
        <x:v>0</x:v>
      </x:c>
      <x:c r="S136" s="68">
        <x:f t="shared" si="43"/>
        <x:v>0</x:v>
      </x:c>
      <x:c r="T136" s="68">
        <x:f t="shared" si="43"/>
        <x:v>0</x:v>
      </x:c>
      <x:c r="U136" s="68">
        <x:f t="shared" si="43"/>
        <x:v>0</x:v>
      </x:c>
      <x:c r="V136" s="68">
        <x:f t="shared" si="43"/>
        <x:v>0</x:v>
      </x:c>
      <x:c r="W136" s="68">
        <x:f t="shared" si="43"/>
        <x:v>0</x:v>
      </x:c>
      <x:c r="X136" s="68">
        <x:f t="shared" si="43"/>
        <x:v>0</x:v>
      </x:c>
      <x:c r="Y136" s="68">
        <x:f t="shared" si="43"/>
        <x:v>0</x:v>
      </x:c>
      <x:c r="Z136" s="68">
        <x:f t="shared" si="43"/>
        <x:v>0</x:v>
      </x:c>
    </x:row>
    <x:row r="137" ht="15" hidden="1" customHeight="1">
      <x:c r="A137" s="67" t="s">
        <x:v>456</x:v>
      </x:c>
      <x:c r="B137" s="68" t="n">
        <x:f>$J$87+B136</x:f>
        <x:v>1100000000</x:v>
      </x:c>
      <x:c r="C137" s="68" t="n">
        <x:f t="shared" ref="C137:Z137" si="44">B137+C136</x:f>
        <x:v>783440102.048</x:v>
      </x:c>
      <x:c r="D137" s="68">
        <x:f t="shared" si="44"/>
        <x:v>0</x:v>
      </x:c>
      <x:c r="E137" s="68">
        <x:f t="shared" si="44"/>
        <x:v>0</x:v>
      </x:c>
      <x:c r="F137" s="68">
        <x:f t="shared" si="44"/>
        <x:v>0</x:v>
      </x:c>
      <x:c r="G137" s="68">
        <x:f t="shared" si="44"/>
        <x:v>0</x:v>
      </x:c>
      <x:c r="H137" s="68">
        <x:f t="shared" si="44"/>
        <x:v>0</x:v>
      </x:c>
      <x:c r="I137" s="68">
        <x:f t="shared" si="44"/>
        <x:v>0</x:v>
      </x:c>
      <x:c r="J137" s="68">
        <x:f t="shared" si="44"/>
        <x:v>0</x:v>
      </x:c>
      <x:c r="K137" s="68">
        <x:f t="shared" si="44"/>
        <x:v>0</x:v>
      </x:c>
      <x:c r="L137" s="68">
        <x:f t="shared" si="44"/>
        <x:v>0</x:v>
      </x:c>
      <x:c r="M137" s="68">
        <x:f t="shared" si="44"/>
        <x:v>0</x:v>
      </x:c>
      <x:c r="N137" s="68">
        <x:f t="shared" si="44"/>
        <x:v>0</x:v>
      </x:c>
      <x:c r="O137" s="68">
        <x:f t="shared" si="44"/>
        <x:v>0</x:v>
      </x:c>
      <x:c r="P137" s="68">
        <x:f t="shared" si="44"/>
        <x:v>0</x:v>
      </x:c>
      <x:c r="Q137" s="68">
        <x:f t="shared" si="44"/>
        <x:v>0</x:v>
      </x:c>
      <x:c r="R137" s="68">
        <x:f t="shared" si="44"/>
        <x:v>0</x:v>
      </x:c>
      <x:c r="S137" s="68">
        <x:f t="shared" si="44"/>
        <x:v>0</x:v>
      </x:c>
      <x:c r="T137" s="68">
        <x:f t="shared" si="44"/>
        <x:v>0</x:v>
      </x:c>
      <x:c r="U137" s="68">
        <x:f t="shared" si="44"/>
        <x:v>0</x:v>
      </x:c>
      <x:c r="V137" s="68">
        <x:f t="shared" si="44"/>
        <x:v>0</x:v>
      </x:c>
      <x:c r="W137" s="68">
        <x:f t="shared" si="44"/>
        <x:v>0</x:v>
      </x:c>
      <x:c r="X137" s="68">
        <x:f t="shared" si="44"/>
        <x:v>0</x:v>
      </x:c>
      <x:c r="Y137" s="68">
        <x:f t="shared" si="44"/>
        <x:v>0</x:v>
      </x:c>
      <x:c r="Z137" s="68">
        <x:f t="shared" si="44"/>
        <x:v>0</x:v>
      </x:c>
    </x:row>
    <x:row r="138" ht="15" hidden="1" customHeight="1">
      <x:c r="A138" s="67" t="s">
        <x:v>457</x:v>
      </x:c>
      <x:c r="B138" s="68" t="n">
        <x:f>B136</x:f>
        <x:v>-400000000</x:v>
      </x:c>
      <x:c r="C138" s="68" t="n">
        <x:f t="shared" ref="C138:Z138" si="45">B138+C136</x:f>
        <x:v>-716559897.952</x:v>
      </x:c>
      <x:c r="D138" s="68">
        <x:f t="shared" si="45"/>
        <x:v>0</x:v>
      </x:c>
      <x:c r="E138" s="68">
        <x:f t="shared" si="45"/>
        <x:v>0</x:v>
      </x:c>
      <x:c r="F138" s="68">
        <x:f t="shared" si="45"/>
        <x:v>0</x:v>
      </x:c>
      <x:c r="G138" s="68">
        <x:f t="shared" si="45"/>
        <x:v>0</x:v>
      </x:c>
      <x:c r="H138" s="68">
        <x:f t="shared" si="45"/>
        <x:v>0</x:v>
      </x:c>
      <x:c r="I138" s="68">
        <x:f t="shared" si="45"/>
        <x:v>0</x:v>
      </x:c>
      <x:c r="J138" s="68">
        <x:f t="shared" si="45"/>
        <x:v>0</x:v>
      </x:c>
      <x:c r="K138" s="68">
        <x:f t="shared" si="45"/>
        <x:v>0</x:v>
      </x:c>
      <x:c r="L138" s="68">
        <x:f t="shared" si="45"/>
        <x:v>0</x:v>
      </x:c>
      <x:c r="M138" s="68">
        <x:f t="shared" si="45"/>
        <x:v>0</x:v>
      </x:c>
      <x:c r="N138" s="68">
        <x:f t="shared" si="45"/>
        <x:v>0</x:v>
      </x:c>
      <x:c r="O138" s="68">
        <x:f t="shared" si="45"/>
        <x:v>0</x:v>
      </x:c>
      <x:c r="P138" s="68">
        <x:f t="shared" si="45"/>
        <x:v>0</x:v>
      </x:c>
      <x:c r="Q138" s="68">
        <x:f t="shared" si="45"/>
        <x:v>0</x:v>
      </x:c>
      <x:c r="R138" s="68">
        <x:f t="shared" si="45"/>
        <x:v>0</x:v>
      </x:c>
      <x:c r="S138" s="68">
        <x:f t="shared" si="45"/>
        <x:v>0</x:v>
      </x:c>
      <x:c r="T138" s="68">
        <x:f t="shared" si="45"/>
        <x:v>0</x:v>
      </x:c>
      <x:c r="U138" s="68">
        <x:f t="shared" si="45"/>
        <x:v>0</x:v>
      </x:c>
      <x:c r="V138" s="68">
        <x:f t="shared" si="45"/>
        <x:v>0</x:v>
      </x:c>
      <x:c r="W138" s="68">
        <x:f t="shared" si="45"/>
        <x:v>0</x:v>
      </x:c>
      <x:c r="X138" s="68">
        <x:f t="shared" si="45"/>
        <x:v>0</x:v>
      </x:c>
      <x:c r="Y138" s="68">
        <x:f t="shared" si="45"/>
        <x:v>0</x:v>
      </x:c>
      <x:c r="Z138" s="68">
        <x:f t="shared" si="45"/>
        <x:v>0</x:v>
      </x:c>
    </x:row>
    <x:row r="139" ht="15" hidden="1" customHeight="1"/>
    <x:row r="140" ht="15" hidden="1" customHeight="1">
      <x:c r="A140" s="67" t="s">
        <x:v>458</x:v>
      </x:c>
      <x:c r="C140" s="69" t="n">
        <x:f>$D$88*(1+$E$88)^0</x:f>
        <x:v>300</x:v>
      </x:c>
      <x:c r="D140" s="69" t="n">
        <x:f>$D$88*(1+$E$88)^1</x:f>
        <x:v>324</x:v>
      </x:c>
      <x:c r="E140" s="69" t="n">
        <x:f>$D$88*(1+$E$88)^2</x:f>
        <x:v>349.92</x:v>
      </x:c>
      <x:c r="F140" s="69" t="n">
        <x:f>$D$88*(1+$E$88)^3</x:f>
        <x:v>377.91360000000003</x:v>
      </x:c>
      <x:c r="G140" s="69" t="n">
        <x:f>$D$88*(1+$E$88)^4</x:f>
        <x:v>408.1466880000001</x:v>
      </x:c>
      <x:c r="H140" s="69" t="n">
        <x:f>$D$88*(1+$E$88)^5</x:f>
        <x:v>440.7984230400001</x:v>
      </x:c>
      <x:c r="I140" s="69" t="n">
        <x:f>$D$88*(1+$E$88)^6</x:f>
        <x:v>476.0622968832002</x:v>
      </x:c>
      <x:c r="J140" s="69" t="n">
        <x:f>$D$88*(1+$E$88)^7</x:f>
        <x:v>514.1472806338562</x:v>
      </x:c>
      <x:c r="K140" s="69" t="n">
        <x:f>$D$88*(1+$E$88)^8</x:f>
        <x:v>555.2790630845647</x:v>
      </x:c>
      <x:c r="L140" s="69" t="n">
        <x:f>$D$88*(1+$E$88)^9</x:f>
        <x:v>599.70138813133</x:v>
      </x:c>
      <x:c r="M140" s="69" t="n">
        <x:f>$D$88*(1+$E$88)^10</x:f>
        <x:v>647.6774991818363</x:v>
      </x:c>
      <x:c r="N140" s="69" t="n">
        <x:f>$D$88*(1+$E$88)^11</x:f>
        <x:v>699.4916991163832</x:v>
      </x:c>
      <x:c r="O140" s="69" t="n">
        <x:f>$D$88*(1+$E$88)^12</x:f>
        <x:v>755.451035045694</x:v>
      </x:c>
      <x:c r="P140" s="69" t="n">
        <x:f>$D$88*(1+$E$88)^13</x:f>
        <x:v>815.8871178493495</x:v>
      </x:c>
      <x:c r="Q140" s="69" t="n">
        <x:f>$D$88*(1+$E$88)^14</x:f>
        <x:v>881.1580872772976</x:v>
      </x:c>
      <x:c r="R140" s="69" t="n">
        <x:f>$D$88*(1+$E$88)^15</x:f>
        <x:v>951.6507342594815</x:v>
      </x:c>
      <x:c r="S140" s="69" t="n">
        <x:f>$D$88*(1+$E$88)^16</x:f>
        <x:v>1027.78279300024</x:v>
      </x:c>
      <x:c r="T140" s="69" t="n">
        <x:f>$D$88*(1+$E$88)^17</x:f>
        <x:v>1110.005416440259</x:v>
      </x:c>
      <x:c r="U140" s="69" t="n">
        <x:f>$D$88*(1+$E$88)^18</x:f>
        <x:v>1198.80584975548</x:v>
      </x:c>
      <x:c r="V140" s="69" t="n">
        <x:f>$D$88*(1+$E$88)^19</x:f>
        <x:v>1294.7103177359186</x:v>
      </x:c>
      <x:c r="W140" s="69" t="n">
        <x:f>$D$88*(1+$E$88)^20</x:f>
        <x:v>1398.287143154792</x:v>
      </x:c>
      <x:c r="X140" s="69" t="n">
        <x:f>$D$88*(1+$E$88)^21</x:f>
        <x:v>1510.1501146071753</x:v>
      </x:c>
      <x:c r="Y140" s="69" t="n">
        <x:f>$D$88*(1+$E$88)^22</x:f>
        <x:v>1630.9621237757497</x:v>
      </x:c>
      <x:c r="Z140" s="69" t="n">
        <x:f>$D$88*(1+$E$88)^23</x:f>
        <x:v>1761.4390936778095</x:v>
      </x:c>
    </x:row>
    <x:row r="141" ht="15" hidden="1" customHeight="1">
      <x:c r="A141" s="67" t="s">
        <x:v>459</x:v>
      </x:c>
      <x:c r="B141" s="67">
        <x:v>0</x:v>
      </x:c>
      <x:c r="C141" s="69" t="n">
        <x:f t="shared" ref="C141:Z141" si="46">B141*(1-$F$88)+C140</x:f>
        <x:v>300</x:v>
      </x:c>
      <x:c r="D141" s="69">
        <x:f t="shared" si="46"/>
        <x:v>0</x:v>
      </x:c>
      <x:c r="E141" s="69">
        <x:f t="shared" si="46"/>
        <x:v>0</x:v>
      </x:c>
      <x:c r="F141" s="69">
        <x:f t="shared" si="46"/>
        <x:v>0</x:v>
      </x:c>
      <x:c r="G141" s="69">
        <x:f t="shared" si="46"/>
        <x:v>0</x:v>
      </x:c>
      <x:c r="H141" s="69">
        <x:f t="shared" si="46"/>
        <x:v>0</x:v>
      </x:c>
      <x:c r="I141" s="69">
        <x:f t="shared" si="46"/>
        <x:v>0</x:v>
      </x:c>
      <x:c r="J141" s="69">
        <x:f t="shared" si="46"/>
        <x:v>0</x:v>
      </x:c>
      <x:c r="K141" s="69">
        <x:f t="shared" si="46"/>
        <x:v>0</x:v>
      </x:c>
      <x:c r="L141" s="69">
        <x:f t="shared" si="46"/>
        <x:v>0</x:v>
      </x:c>
      <x:c r="M141" s="69">
        <x:f t="shared" si="46"/>
        <x:v>0</x:v>
      </x:c>
      <x:c r="N141" s="69">
        <x:f t="shared" si="46"/>
        <x:v>0</x:v>
      </x:c>
      <x:c r="O141" s="69">
        <x:f t="shared" si="46"/>
        <x:v>0</x:v>
      </x:c>
      <x:c r="P141" s="69">
        <x:f t="shared" si="46"/>
        <x:v>0</x:v>
      </x:c>
      <x:c r="Q141" s="69">
        <x:f t="shared" si="46"/>
        <x:v>0</x:v>
      </x:c>
      <x:c r="R141" s="69">
        <x:f t="shared" si="46"/>
        <x:v>0</x:v>
      </x:c>
      <x:c r="S141" s="69">
        <x:f t="shared" si="46"/>
        <x:v>0</x:v>
      </x:c>
      <x:c r="T141" s="69">
        <x:f t="shared" si="46"/>
        <x:v>0</x:v>
      </x:c>
      <x:c r="U141" s="69">
        <x:f t="shared" si="46"/>
        <x:v>0</x:v>
      </x:c>
      <x:c r="V141" s="69">
        <x:f t="shared" si="46"/>
        <x:v>0</x:v>
      </x:c>
      <x:c r="W141" s="69">
        <x:f t="shared" si="46"/>
        <x:v>0</x:v>
      </x:c>
      <x:c r="X141" s="69">
        <x:f t="shared" si="46"/>
        <x:v>0</x:v>
      </x:c>
      <x:c r="Y141" s="69">
        <x:f t="shared" si="46"/>
        <x:v>0</x:v>
      </x:c>
      <x:c r="Z141" s="69">
        <x:f t="shared" si="46"/>
        <x:v>0</x:v>
      </x:c>
    </x:row>
    <x:row r="142" ht="15" hidden="1" customHeight="1">
      <x:c r="A142" s="67" t="s">
        <x:v>460</x:v>
      </x:c>
      <x:c r="B142" s="68" t="n">
        <x:f>-$I$88</x:f>
        <x:v>-400000000</x:v>
      </x:c>
      <x:c r="C142" s="68" t="n">
        <x:f t="shared" ref="C142:Z142" si="47">C141*($B$88-$C$88)-C140*$G$88-$H$88</x:f>
        <x:v>-302176552.32</x:v>
      </x:c>
      <x:c r="D142" s="68">
        <x:f t="shared" si="47"/>
        <x:v>0</x:v>
      </x:c>
      <x:c r="E142" s="68">
        <x:f t="shared" si="47"/>
        <x:v>0</x:v>
      </x:c>
      <x:c r="F142" s="68">
        <x:f t="shared" si="47"/>
        <x:v>0</x:v>
      </x:c>
      <x:c r="G142" s="68">
        <x:f t="shared" si="47"/>
        <x:v>0</x:v>
      </x:c>
      <x:c r="H142" s="68">
        <x:f t="shared" si="47"/>
        <x:v>0</x:v>
      </x:c>
      <x:c r="I142" s="68">
        <x:f t="shared" si="47"/>
        <x:v>0</x:v>
      </x:c>
      <x:c r="J142" s="68">
        <x:f t="shared" si="47"/>
        <x:v>0</x:v>
      </x:c>
      <x:c r="K142" s="68">
        <x:f t="shared" si="47"/>
        <x:v>0</x:v>
      </x:c>
      <x:c r="L142" s="68">
        <x:f t="shared" si="47"/>
        <x:v>0</x:v>
      </x:c>
      <x:c r="M142" s="68">
        <x:f t="shared" si="47"/>
        <x:v>0</x:v>
      </x:c>
      <x:c r="N142" s="68">
        <x:f t="shared" si="47"/>
        <x:v>0</x:v>
      </x:c>
      <x:c r="O142" s="68">
        <x:f t="shared" si="47"/>
        <x:v>0</x:v>
      </x:c>
      <x:c r="P142" s="68">
        <x:f t="shared" si="47"/>
        <x:v>0</x:v>
      </x:c>
      <x:c r="Q142" s="68">
        <x:f t="shared" si="47"/>
        <x:v>0</x:v>
      </x:c>
      <x:c r="R142" s="68">
        <x:f t="shared" si="47"/>
        <x:v>0</x:v>
      </x:c>
      <x:c r="S142" s="68">
        <x:f t="shared" si="47"/>
        <x:v>0</x:v>
      </x:c>
      <x:c r="T142" s="68">
        <x:f t="shared" si="47"/>
        <x:v>0</x:v>
      </x:c>
      <x:c r="U142" s="68">
        <x:f t="shared" si="47"/>
        <x:v>0</x:v>
      </x:c>
      <x:c r="V142" s="68">
        <x:f t="shared" si="47"/>
        <x:v>0</x:v>
      </x:c>
      <x:c r="W142" s="68">
        <x:f t="shared" si="47"/>
        <x:v>0</x:v>
      </x:c>
      <x:c r="X142" s="68">
        <x:f t="shared" si="47"/>
        <x:v>0</x:v>
      </x:c>
      <x:c r="Y142" s="68">
        <x:f t="shared" si="47"/>
        <x:v>0</x:v>
      </x:c>
      <x:c r="Z142" s="68">
        <x:f t="shared" si="47"/>
        <x:v>0</x:v>
      </x:c>
    </x:row>
    <x:row r="143" ht="15" hidden="1" customHeight="1">
      <x:c r="A143" s="67" t="s">
        <x:v>461</x:v>
      </x:c>
      <x:c r="B143" s="68" t="n">
        <x:f>$J$88+B142</x:f>
        <x:v>1100000000</x:v>
      </x:c>
      <x:c r="C143" s="68" t="n">
        <x:f t="shared" ref="C143:Z143" si="48">B143+C142</x:f>
        <x:v>797823447.6800001</x:v>
      </x:c>
      <x:c r="D143" s="68">
        <x:f t="shared" si="48"/>
        <x:v>0</x:v>
      </x:c>
      <x:c r="E143" s="68">
        <x:f t="shared" si="48"/>
        <x:v>0</x:v>
      </x:c>
      <x:c r="F143" s="68">
        <x:f t="shared" si="48"/>
        <x:v>0</x:v>
      </x:c>
      <x:c r="G143" s="68">
        <x:f t="shared" si="48"/>
        <x:v>0</x:v>
      </x:c>
      <x:c r="H143" s="68">
        <x:f t="shared" si="48"/>
        <x:v>0</x:v>
      </x:c>
      <x:c r="I143" s="68">
        <x:f t="shared" si="48"/>
        <x:v>0</x:v>
      </x:c>
      <x:c r="J143" s="68">
        <x:f t="shared" si="48"/>
        <x:v>0</x:v>
      </x:c>
      <x:c r="K143" s="68">
        <x:f t="shared" si="48"/>
        <x:v>0</x:v>
      </x:c>
      <x:c r="L143" s="68">
        <x:f t="shared" si="48"/>
        <x:v>0</x:v>
      </x:c>
      <x:c r="M143" s="68">
        <x:f t="shared" si="48"/>
        <x:v>0</x:v>
      </x:c>
      <x:c r="N143" s="68">
        <x:f t="shared" si="48"/>
        <x:v>0</x:v>
      </x:c>
      <x:c r="O143" s="68">
        <x:f t="shared" si="48"/>
        <x:v>0</x:v>
      </x:c>
      <x:c r="P143" s="68">
        <x:f t="shared" si="48"/>
        <x:v>0</x:v>
      </x:c>
      <x:c r="Q143" s="68">
        <x:f t="shared" si="48"/>
        <x:v>0</x:v>
      </x:c>
      <x:c r="R143" s="68">
        <x:f t="shared" si="48"/>
        <x:v>0</x:v>
      </x:c>
      <x:c r="S143" s="68">
        <x:f t="shared" si="48"/>
        <x:v>0</x:v>
      </x:c>
      <x:c r="T143" s="68">
        <x:f t="shared" si="48"/>
        <x:v>0</x:v>
      </x:c>
      <x:c r="U143" s="68">
        <x:f t="shared" si="48"/>
        <x:v>0</x:v>
      </x:c>
      <x:c r="V143" s="68">
        <x:f t="shared" si="48"/>
        <x:v>0</x:v>
      </x:c>
      <x:c r="W143" s="68">
        <x:f t="shared" si="48"/>
        <x:v>0</x:v>
      </x:c>
      <x:c r="X143" s="68">
        <x:f t="shared" si="48"/>
        <x:v>0</x:v>
      </x:c>
      <x:c r="Y143" s="68">
        <x:f t="shared" si="48"/>
        <x:v>0</x:v>
      </x:c>
      <x:c r="Z143" s="68">
        <x:f t="shared" si="48"/>
        <x:v>0</x:v>
      </x:c>
    </x:row>
    <x:row r="144" ht="15" hidden="1" customHeight="1">
      <x:c r="A144" s="67" t="s">
        <x:v>462</x:v>
      </x:c>
      <x:c r="B144" s="68" t="n">
        <x:f>B142</x:f>
        <x:v>-400000000</x:v>
      </x:c>
      <x:c r="C144" s="68" t="n">
        <x:f t="shared" ref="C144:Z144" si="49">B144+C142</x:f>
        <x:v>-702176552.3199999</x:v>
      </x:c>
      <x:c r="D144" s="68">
        <x:f t="shared" si="49"/>
        <x:v>0</x:v>
      </x:c>
      <x:c r="E144" s="68">
        <x:f t="shared" si="49"/>
        <x:v>0</x:v>
      </x:c>
      <x:c r="F144" s="68">
        <x:f t="shared" si="49"/>
        <x:v>0</x:v>
      </x:c>
      <x:c r="G144" s="68">
        <x:f t="shared" si="49"/>
        <x:v>0</x:v>
      </x:c>
      <x:c r="H144" s="68">
        <x:f t="shared" si="49"/>
        <x:v>0</x:v>
      </x:c>
      <x:c r="I144" s="68">
        <x:f t="shared" si="49"/>
        <x:v>0</x:v>
      </x:c>
      <x:c r="J144" s="68">
        <x:f t="shared" si="49"/>
        <x:v>0</x:v>
      </x:c>
      <x:c r="K144" s="68">
        <x:f t="shared" si="49"/>
        <x:v>0</x:v>
      </x:c>
      <x:c r="L144" s="68">
        <x:f t="shared" si="49"/>
        <x:v>0</x:v>
      </x:c>
      <x:c r="M144" s="68">
        <x:f t="shared" si="49"/>
        <x:v>0</x:v>
      </x:c>
      <x:c r="N144" s="68">
        <x:f t="shared" si="49"/>
        <x:v>0</x:v>
      </x:c>
      <x:c r="O144" s="68">
        <x:f t="shared" si="49"/>
        <x:v>0</x:v>
      </x:c>
      <x:c r="P144" s="68">
        <x:f t="shared" si="49"/>
        <x:v>0</x:v>
      </x:c>
      <x:c r="Q144" s="68">
        <x:f t="shared" si="49"/>
        <x:v>0</x:v>
      </x:c>
      <x:c r="R144" s="68">
        <x:f t="shared" si="49"/>
        <x:v>0</x:v>
      </x:c>
      <x:c r="S144" s="68">
        <x:f t="shared" si="49"/>
        <x:v>0</x:v>
      </x:c>
      <x:c r="T144" s="68">
        <x:f t="shared" si="49"/>
        <x:v>0</x:v>
      </x:c>
      <x:c r="U144" s="68">
        <x:f t="shared" si="49"/>
        <x:v>0</x:v>
      </x:c>
      <x:c r="V144" s="68">
        <x:f t="shared" si="49"/>
        <x:v>0</x:v>
      </x:c>
      <x:c r="W144" s="68">
        <x:f t="shared" si="49"/>
        <x:v>0</x:v>
      </x:c>
      <x:c r="X144" s="68">
        <x:f t="shared" si="49"/>
        <x:v>0</x:v>
      </x:c>
      <x:c r="Y144" s="68">
        <x:f t="shared" si="49"/>
        <x:v>0</x:v>
      </x:c>
      <x:c r="Z144" s="68">
        <x:f t="shared" si="49"/>
        <x:v>0</x:v>
      </x:c>
    </x:row>
    <x:row r="145" ht="15" hidden="1" customHeight="1"/>
  </x:sheetData>
  <x:mergeCells>
    <x:mergeCell ref="E71:H71"/>
    <x:mergeCell ref="E72:H72"/>
    <x:mergeCell ref="E73:H73"/>
    <x:mergeCell ref="E74:H74"/>
    <x:mergeCell ref="E75:H75"/>
    <x:mergeCell ref="E76:H76"/>
    <x:mergeCell ref="E77:H77"/>
  </x:mergeCells>
  <x:conditionalFormatting sqref="A58:H64">
    <x:cfRule type="expression" dxfId="0" priority="2">
      <x:formula>$H58=1</x:formula>
    </x:cfRule>
  </x:conditionalFormatting>
  <x:pageMargins left="0.7" right="0.7" top="0.75" bottom="0.75" header="0.3" footer="0.3"/>
</x:worksheet>
</file>

<file path=xl/worksheets/sheet9.xml><?xml version="1.0" encoding="utf-8"?>
<x:worksheet xmlns:x="http://schemas.openxmlformats.org/spreadsheetml/2006/main">
  <x:sheetFormatPr defaultColWidth="8.675926208496094" defaultRowHeight="14.399999618530273"/>
  <x:cols>
    <x:col min="1" max="1" width="48" style="1" customWidth="1"/>
    <x:col min="2" max="4" width="18" style="1" customWidth="1"/>
    <x:col min="5" max="5" width="15" style="1" customWidth="1"/>
    <x:col min="6" max="6" width="40" style="1" customWidth="1"/>
    <x:col min="7" max="7" width="52" style="1" customWidth="1"/>
  </x:cols>
  <x:sheetData>
    <x:row r="1" ht="17.25" customHeight="1">
      <x:c r="A1" s="10" t="s">
        <x:v>463</x:v>
      </x:c>
    </x:row>
    <x:row r="2" ht="15" customHeight="1">
      <x:c r="A2" s="11" t="s">
        <x:v>464</x:v>
      </x:c>
    </x:row>
    <x:row r="3" ht="15" customHeight="1">
      <x:c r="A3" s="28" t="s">
        <x:v>465</x:v>
      </x:c>
    </x:row>
    <x:row r="4" ht="15" customHeight="1">
      <x:c r="A4" s="4" t="s">
        <x:v>257</x:v>
      </x:c>
      <x:c r="B4" s="4" t="s">
        <x:v>258</x:v>
      </x:c>
      <x:c r="C4" s="4" t="s">
        <x:v>259</x:v>
      </x:c>
      <x:c r="D4" s="4" t="s">
        <x:v>260</x:v>
      </x:c>
      <x:c r="E4" s="4" t="s">
        <x:v>145</x:v>
      </x:c>
      <x:c r="F4" s="4" t="s">
        <x:v>146</x:v>
      </x:c>
      <x:c r="G4" s="4" t="s">
        <x:v>261</x:v>
      </x:c>
    </x:row>
    <x:row r="5" ht="15.75" customHeight="1">
      <x:c r="A5" s="29" t="s">
        <x:v>466</x:v>
      </x:c>
      <x:c r="B5" s="30"/>
      <x:c r="C5" s="30"/>
      <x:c r="D5" s="30"/>
      <x:c r="E5" s="31" t="s">
        <x:v>467</x:v>
      </x:c>
      <x:c r="F5" s="32"/>
      <x:c r="G5" s="33" t="s">
        <x:v>468</x:v>
      </x:c>
    </x:row>
    <x:row r="6" ht="31.5" customHeight="1">
      <x:c r="A6" s="34" t="s">
        <x:v>469</x:v>
      </x:c>
      <x:c r="B6" s="30"/>
      <x:c r="C6" s="30"/>
      <x:c r="D6" s="30"/>
      <x:c r="E6" s="31" t="s">
        <x:v>470</x:v>
      </x:c>
      <x:c r="F6" s="32"/>
      <x:c r="G6" s="33" t="s">
        <x:v>471</x:v>
      </x:c>
    </x:row>
    <x:row r="7" ht="30" customHeight="1">
      <x:c r="A7" s="29" t="s">
        <x:v>472</x:v>
      </x:c>
      <x:c r="B7" s="35"/>
      <x:c r="C7" s="35"/>
      <x:c r="D7" s="35"/>
      <x:c r="E7" s="31" t="s">
        <x:v>167</x:v>
      </x:c>
      <x:c r="F7" s="32"/>
      <x:c r="G7" s="33" t="s">
        <x:v>473</x:v>
      </x:c>
    </x:row>
    <x:row r="8" ht="15.75" customHeight="1">
      <x:c r="A8" s="29" t="s">
        <x:v>474</x:v>
      </x:c>
      <x:c r="B8" s="36"/>
      <x:c r="C8" s="36"/>
      <x:c r="D8" s="36"/>
      <x:c r="E8" s="31" t="s">
        <x:v>178</x:v>
      </x:c>
      <x:c r="F8" s="32"/>
      <x:c r="G8" s="33" t="s">
        <x:v>475</x:v>
      </x:c>
    </x:row>
    <x:row r="9" ht="15.75" customHeight="1">
      <x:c r="A9" s="29" t="s">
        <x:v>476</x:v>
      </x:c>
      <x:c r="B9" s="36"/>
      <x:c r="C9" s="36"/>
      <x:c r="D9" s="36"/>
      <x:c r="E9" s="31" t="s">
        <x:v>212</x:v>
      </x:c>
      <x:c r="F9" s="32"/>
      <x:c r="G9" s="33" t="s">
        <x:v>477</x:v>
      </x:c>
    </x:row>
    <x:row r="10" ht="15.75" customHeight="1">
      <x:c r="A10" s="29" t="s">
        <x:v>478</x:v>
      </x:c>
      <x:c r="B10" s="36"/>
      <x:c r="C10" s="36"/>
      <x:c r="D10" s="36"/>
      <x:c r="E10" s="31" t="s">
        <x:v>479</x:v>
      </x:c>
      <x:c r="F10" s="32"/>
      <x:c r="G10" s="33" t="s">
        <x:v>480</x:v>
      </x:c>
    </x:row>
    <x:row r="11" ht="15.75" customHeight="1">
      <x:c r="A11" s="29" t="s">
        <x:v>481</x:v>
      </x:c>
      <x:c r="B11" s="36"/>
      <x:c r="C11" s="36"/>
      <x:c r="D11" s="36"/>
      <x:c r="E11" s="31" t="s">
        <x:v>479</x:v>
      </x:c>
      <x:c r="F11" s="32"/>
      <x:c r="G11" s="33" t="s">
        <x:v>482</x:v>
      </x:c>
    </x:row>
    <x:row r="12" ht="15.75" customHeight="1">
      <x:c r="A12" s="29" t="s">
        <x:v>483</x:v>
      </x:c>
      <x:c r="B12" s="36"/>
      <x:c r="C12" s="36"/>
      <x:c r="D12" s="36"/>
      <x:c r="E12" s="31" t="s">
        <x:v>212</x:v>
      </x:c>
      <x:c r="F12" s="32"/>
      <x:c r="G12" s="33" t="s">
        <x:v>484</x:v>
      </x:c>
    </x:row>
    <x:row r="13" ht="15" customHeight="1">
      <x:c r="A13" s="29" t="s">
        <x:v>284</x:v>
      </x:c>
      <x:c r="B13" s="35">
        <x:v>0.15</x:v>
      </x:c>
      <x:c r="C13" s="35">
        <x:v>0.15</x:v>
      </x:c>
      <x:c r="D13" s="35">
        <x:v>0.15</x:v>
      </x:c>
      <x:c r="E13" s="31" t="s">
        <x:v>167</x:v>
      </x:c>
      <x:c r="F13" s="32" t="s">
        <x:v>485</x:v>
      </x:c>
      <x:c r="G13" s="31"/>
    </x:row>
    <x:row r="15" ht="26.25" customHeight="1">
      <x:c r="A15" s="4" t="s">
        <x:v>486</x:v>
      </x:c>
      <x:c r="B15" s="4" t="s">
        <x:v>258</x:v>
      </x:c>
      <x:c r="C15" s="4" t="s">
        <x:v>259</x:v>
      </x:c>
      <x:c r="D15" s="4" t="s">
        <x:v>260</x:v>
      </x:c>
      <x:c r="E15" s="4" t="s">
        <x:v>297</x:v>
      </x:c>
    </x:row>
    <x:row r="16" ht="15" customHeight="1">
      <x:c r="A16" s="12" t="s">
        <x:v>487</x:v>
      </x:c>
      <x:c r="B16" s="23" t="n">
        <x:f>B5*B6*52/12*B7*B8+B9</x:f>
        <x:v>0</x:v>
      </x:c>
      <x:c r="C16" s="23" t="n">
        <x:f>C5*C6*52/12*C7*C8+C9</x:f>
        <x:v>0</x:v>
      </x:c>
      <x:c r="D16" s="23" t="n">
        <x:f>D5*D6*52/12*D7*D8+D9</x:f>
        <x:v>0</x:v>
      </x:c>
    </x:row>
    <x:row r="17" ht="15" customHeight="1">
      <x:c r="A17" s="12" t="s">
        <x:v>488</x:v>
      </x:c>
      <x:c r="B17" s="23" t="n">
        <x:f>B16-B12</x:f>
        <x:v>0</x:v>
      </x:c>
      <x:c r="C17" s="23" t="n">
        <x:f>C16-C12</x:f>
        <x:v>0</x:v>
      </x:c>
      <x:c r="D17" s="23" t="n">
        <x:f>D16-D12</x:f>
        <x:v>0</x:v>
      </x:c>
      <x:c r="E17" s="1" t="s">
        <x:v>349</x:v>
      </x:c>
    </x:row>
    <x:row r="18" ht="15" customHeight="1">
      <x:c r="A18" s="12" t="s">
        <x:v>489</x:v>
      </x:c>
      <x:c r="B18" s="23" t="n">
        <x:f>B10+B11</x:f>
        <x:v>0</x:v>
      </x:c>
      <x:c r="C18" s="23" t="n">
        <x:f>C10+C11</x:f>
        <x:v>0</x:v>
      </x:c>
      <x:c r="D18" s="23" t="n">
        <x:f>D10+D11</x:f>
        <x:v>0</x:v>
      </x:c>
    </x:row>
    <x:row r="19" ht="15" customHeight="1">
      <x:c r="A19" s="12" t="s">
        <x:v>490</x:v>
      </x:c>
      <x:c r="B19" s="37" t="str">
        <x:f>IF(B5=0,"Chưa điền",IF(B17&gt;0,B18/B17,"Không hoàn vốn"))</x:f>
        <x:v>Chưa điền</x:v>
      </x:c>
      <x:c r="C19" s="37" t="str">
        <x:f>IF(C5=0,"Chưa điền",IF(C17&gt;0,C18/C17,"Không hoàn vốn"))</x:f>
        <x:v>Chưa điền</x:v>
      </x:c>
      <x:c r="D19" s="37" t="str">
        <x:f>IF(D5=0,"Chưa điền",IF(D17&gt;0,D18/D17,"Không hoàn vốn"))</x:f>
        <x:v>Chưa điền</x:v>
      </x:c>
      <x:c r="E19" s="1" t="s">
        <x:v>306</x:v>
      </x:c>
    </x:row>
    <x:row r="20" ht="15" customHeight="1">
      <x:c r="A20" s="12" t="s">
        <x:v>491</x:v>
      </x:c>
      <x:c r="B20" s="19" t="n">
        <x:f>IFERROR((12*B17-B18)/B18,0)</x:f>
        <x:v>0</x:v>
      </x:c>
      <x:c r="C20" s="19" t="n">
        <x:f>IFERROR((12*C17-C18)/C18,0)</x:f>
        <x:v>0</x:v>
      </x:c>
      <x:c r="D20" s="19" t="n">
        <x:f>IFERROR((12*D17-D18)/D18,0)</x:f>
        <x:v>0</x:v>
      </x:c>
      <x:c r="E20" s="1" t="s">
        <x:v>349</x:v>
      </x:c>
    </x:row>
    <x:row r="21" ht="15" customHeight="1">
      <x:c r="A21" s="12" t="s">
        <x:v>492</x:v>
      </x:c>
      <x:c r="B21" s="38" t="n">
        <x:f>PV(B13/12,24,-B17)-B18</x:f>
        <x:v>0</x:v>
      </x:c>
      <x:c r="C21" s="38" t="n">
        <x:f>PV(C13/12,24,-C17)-C18</x:f>
        <x:v>0</x:v>
      </x:c>
      <x:c r="D21" s="38" t="n">
        <x:f>PV(D13/12,24,-D17)-D18</x:f>
        <x:v>0</x:v>
      </x:c>
      <x:c r="E21" s="1" t="s">
        <x:v>349</x:v>
      </x:c>
    </x:row>
    <x:row r="22" ht="15" customHeight="1">
      <x:c r="A22" s="12" t="s">
        <x:v>493</x:v>
      </x:c>
      <x:c r="B22" s="39" t="str">
        <x:f>IF(B5=0,"Chưa điền",IF(NOT(ISNUMBER(B19)),"Dừng",IF(B19&lt;12,"Làm","Thử nghiệm nhỏ")))</x:f>
        <x:v>Chưa điền</x:v>
      </x:c>
      <x:c r="C22" s="39" t="str">
        <x:f>IF(C5=0,"Chưa điền",IF(NOT(ISNUMBER(C19)),"Dừng",IF(C19&lt;12,"Làm","Thử nghiệm nhỏ")))</x:f>
        <x:v>Chưa điền</x:v>
      </x:c>
      <x:c r="D22" s="39" t="str">
        <x:f>IF(D5=0,"Chưa điền",IF(NOT(ISNUMBER(D19)),"Dừng",IF(D19&lt;12,"Làm","Thử nghiệm nhỏ")))</x:f>
        <x:v>Chưa điền</x:v>
      </x:c>
      <x:c r="E22" s="3" t="s">
        <x:v>494</x:v>
      </x:c>
    </x:row>
  </x:sheetData>
  <x:pageMargins left="0.7" right="0.7" top="0.75" bottom="0.75" header="0.3" footer="0.3"/>
</x:worksheet>
</file>

<file path=xl/worksheets/sheet10.xml><?xml version="1.0" encoding="utf-8"?>
<x:worksheet xmlns:x="http://schemas.openxmlformats.org/spreadsheetml/2006/main">
  <x:sheetFormatPr defaultColWidth="8.675926208496094" defaultRowHeight="14.399999618530273"/>
  <x:cols>
    <x:col min="1" max="1" width="60" style="1" customWidth="1"/>
    <x:col min="2" max="2" width="24" style="1" customWidth="1"/>
    <x:col min="3" max="3" width="26" style="1" customWidth="1"/>
  </x:cols>
  <x:sheetData>
    <x:row r="1" ht="17.25" customHeight="1">
      <x:c r="A1" s="10" t="s">
        <x:v>495</x:v>
      </x:c>
    </x:row>
    <x:row r="2" ht="31.5" customHeight="1">
      <x:c r="A2" s="18" t="s">
        <x:v>496</x:v>
      </x:c>
      <x:c r="B2" s="18"/>
      <x:c r="C2" s="18"/>
    </x:row>
    <x:row r="4" ht="15" customHeight="1">
      <x:c r="A4" s="4" t="s">
        <x:v>497</x:v>
      </x:c>
      <x:c r="B4" s="4" t="s">
        <x:v>498</x:v>
      </x:c>
      <x:c r="C4" s="4" t="s">
        <x:v>499</x:v>
      </x:c>
    </x:row>
    <x:row r="5" ht="15" customHeight="1">
      <x:c r="A5" s="12" t="s">
        <x:v>500</x:v>
      </x:c>
      <x:c r="B5" s="19" t="n">
        <x:f>'1_Chi phí mỗi việc'!B25</x:f>
        <x:v>4.928095298748717</x:v>
      </x:c>
      <x:c r="C5" s="16" t="str">
        <x:f>IF(B5&gt;=0.3,"Đạt","Xem lại")</x:f>
        <x:v>Đạt</x:v>
      </x:c>
    </x:row>
    <x:row r="6" ht="15" customHeight="1">
      <x:c r="A6" s="12" t="s">
        <x:v>501</x:v>
      </x:c>
      <x:c r="B6" s="19" t="n">
        <x:f>'4_Chỉ số mỗi khách'!C7</x:f>
        <x:v>0.8946260943369175</x:v>
      </x:c>
      <x:c r="C6" s="16" t="str">
        <x:f>IF(B6&gt;=0.6,"Đạt","Xem lại")</x:f>
        <x:v>Đạt</x:v>
      </x:c>
    </x:row>
    <x:row r="7" ht="15" customHeight="1">
      <x:c r="A7" s="12" t="s">
        <x:v>502</x:v>
      </x:c>
      <x:c r="B7" s="20" t="n">
        <x:f>'4_Chỉ số mỗi khách'!C11</x:f>
        <x:v>1.188574668190476</x:v>
      </x:c>
      <x:c r="C7" s="16" t="str">
        <x:f>IF(B7&gt;3,"Đạt","Xem lại")</x:f>
        <x:v>Xem lại</x:v>
      </x:c>
    </x:row>
    <x:row r="8" ht="15" customHeight="1">
      <x:c r="A8" s="12" t="s">
        <x:v>503</x:v>
      </x:c>
      <x:c r="B8" s="21" t="n">
        <x:f>'4_Chỉ số mỗi khách'!C12</x:f>
        <x:v>5.608959070965405</x:v>
      </x:c>
      <x:c r="C8" s="16" t="str">
        <x:f>IF(AND(B8&gt;0,B8&lt;12),"Đạt","Xem lại")</x:f>
        <x:v>Đạt</x:v>
      </x:c>
    </x:row>
    <x:row r="9" ht="15" customHeight="1">
      <x:c r="A9" s="12" t="s">
        <x:v>504</x:v>
      </x:c>
      <x:c r="B9" s="16" t="str">
        <x:f>IF(AND('3_Giả định'!C9&gt;0,'3_Giả định'!C10&gt;0,'3_Giả định'!D9&gt;=1.5*'3_Giả định'!C9,'3_Giả định'!D10&gt;=1.5*'3_Giả định'!C10),"Có","Không")</x:f>
        <x:v>Có</x:v>
      </x:c>
      <x:c r="C9" s="16" t="str">
        <x:f>IF(B9="Có","Đạt","Xem lại")</x:f>
        <x:v>Đạt</x:v>
      </x:c>
    </x:row>
    <x:row r="10" ht="15" customHeight="1">
      <x:c r="A10" s="12" t="s">
        <x:v>505</x:v>
      </x:c>
      <x:c r="B10" s="22" t="str">
        <x:f>'5_Dòng tiền &amp; hiệu quả'!D47</x:f>
        <x:v>Không hết tiền trong 24 tháng</x:v>
      </x:c>
      <x:c r="C10" s="16" t="str">
        <x:f>IF(B10="Chưa điền","Chưa điền",IF(ISNUMBER(B10),IF(B10&gt;=12,"Đạt","Cần kế hoạch cắt giảm"),"Đạt"))</x:f>
        <x:v>Đạt</x:v>
      </x:c>
    </x:row>
    <x:row r="11" ht="15" customHeight="1">
      <x:c r="A11" s="12" t="s">
        <x:v>506</x:v>
      </x:c>
      <x:c r="B11" s="23" t="n">
        <x:f>'5_Dòng tiền &amp; hiệu quả'!C44</x:f>
        <x:v>-688948047.36</x:v>
      </x:c>
      <x:c r="C11" s="16" t="str">
        <x:f>IF(B11&gt;0,"Đạt","Xem lại")</x:f>
        <x:v>Xem lại</x:v>
      </x:c>
    </x:row>
    <x:row r="12" ht="15" customHeight="1">
      <x:c r="A12" s="12" t="s">
        <x:v>507</x:v>
      </x:c>
      <x:c r="B12" s="16" t="str">
        <x:f>'5_Dòng tiền &amp; hiệu quả'!B66</x:f>
        <x:v>Chi phí có một khách tăng</x:v>
      </x:c>
      <x:c r="C12" s="16" t="str">
        <x:f>IF(B12="Chưa đủ số liệu","Xem lại","Ghi vào câu 3")</x:f>
        <x:v>Ghi vào câu 3</x:v>
      </x:c>
    </x:row>
    <x:row r="13" ht="16.5" customHeight="1">
      <x:c r="A13" s="24" t="s">
        <x:v>508</x:v>
      </x:c>
      <x:c r="B13" s="24"/>
      <x:c r="C13" s="24"/>
    </x:row>
    <x:row r="14" ht="48.75" customHeight="1">
      <x:c r="A14" s="25" t="s">
        <x:v>509</x:v>
      </x:c>
      <x:c r="B14" s="25"/>
      <x:c r="C14" s="25"/>
    </x:row>
    <x:row r="15" ht="48" customHeight="1">
      <x:c r="A15" s="26" t="str">
        <x:v>DỪNG phương án ShopViết hiện tại; chỉ nghiên cứu lại mô hình thu hút/giữ chân khách nếu được duyệt. NPV cơ sở 24 tháng âm khoảng 688,95 triệu đồng; LTV/CAC chỉ 1,19 (&lt;3), dự án chưa hoàn vốn sau 24 tháng. Kịch bản xấu NPV âm khoảng 660,15 triệu đồng theo công thức file, không chứng minh khả thi.</x:v>
      </x:c>
      <x:c r="B15" s="26"/>
      <x:c r="C15" s="26"/>
    </x:row>
    <x:row r="17" ht="18.75" customHeight="1">
      <x:c r="A17" s="25" t="s">
        <x:v>510</x:v>
      </x:c>
      <x:c r="B17" s="25"/>
      <x:c r="C17" s="25"/>
    </x:row>
    <x:row r="18" ht="48" customHeight="1">
      <x:c r="A18" s="26" t="str">
        <x:v>Giữ giá từ Đề bài 3: 99.000 đồng/tháng gồm 300 việc; vượt mức thu 300 đồng/việc. Khách thường 120 việc trả 99.000 đồng; khách dùng nhiều 1.200 việc trả 369.000 đồng. Đây là giả định của đề, chưa có khảo sát xác nhận mức sẵn sàng trả.</x:v>
      </x:c>
      <x:c r="B18" s="26"/>
      <x:c r="C18" s="26"/>
    </x:row>
    <x:row r="20" ht="18.75" customHeight="1">
      <x:c r="A20" s="25" t="s">
        <x:v>511</x:v>
      </x:c>
      <x:c r="B20" s="25"/>
      <x:c r="C20" s="25"/>
    </x:row>
    <x:row r="21" ht="48" customHeight="1">
      <x:c r="A21" s="26" t="str">
        <x:v>Theo bảng độ nhạy của file, CAC tăng 20% làm NPV giảm mạnh nhất, từ −688,95 xuống −730,43 triệu đồng. Người phụ trách tăng trưởng theo dõi CAC theo kênh mỗi tuần, cùng churn theo cohort và tỷ lệ chuyển đổi trả phí. CAC 700.000 đồng quá cao so với LTV khoảng 832.002 đồng.</x:v>
      </x:c>
      <x:c r="B21" s="26"/>
      <x:c r="C21" s="26"/>
    </x:row>
    <x:row r="23" ht="63.75" customHeight="1">
      <x:c r="A23" s="25" t="s">
        <x:v>512</x:v>
      </x:c>
      <x:c r="B23" s="25"/>
      <x:c r="C23" s="25"/>
    </x:row>
    <x:row r="24" ht="48" customHeight="1">
      <x:c r="A24" s="26" t="str">
        <x:v>NẾU CAC trung bình vượt 700.000 đồng/khách trong 2 tuần liên tiếp trên tối thiểu 30 khách mới, THÌ trưởng tăng trưởng tạm dừng quảng cáo trả phí và thử kênh phân phối chi phí thấp; KHÔNG THÌ không được tự tăng ngân sách để mua thêm khách khi LTV/CAC dưới 3.</x:v>
      </x:c>
      <x:c r="B24" s="26"/>
      <x:c r="C24" s="26"/>
    </x:row>
    <x:row r="26" ht="33.75" customHeight="1">
      <x:c r="A26" s="25" t="s">
        <x:v>513</x:v>
      </x:c>
      <x:c r="B26" s="25"/>
      <x:c r="C26" s="25"/>
    </x:row>
    <x:row r="27" ht="48" customHeight="1">
      <x:c r="A27" s="27" t="str">
        <x:v>Đưa vào dashboard Day 23: doanh thu bình quân 139.500 đồng/khách/tháng; biên gộp 89,46%; CAC 700.000 đồng; 300 khách mới tháng 1; chi phí cố định 120 triệu/tháng. Mức hòa vốn do sheet 5 tự tính có giá trị phi thực tế (biên &gt;100%, CAC tối đa âm), vì vậy đánh dấu KHÔNG KHẢ THI, không dùng làm ngưỡng vận hành. Chủ sản phẩm kiểm tra hằng tuần.</x:v>
      </x:c>
      <x:c r="B27" s="27"/>
      <x:c r="C27" s="27"/>
    </x:row>
  </x:sheetData>
  <x:mergeCells>
    <x:mergeCell ref="A2:C2"/>
    <x:mergeCell ref="A13:C13"/>
    <x:mergeCell ref="A14:C14"/>
    <x:mergeCell ref="A15:C15"/>
    <x:mergeCell ref="A17:C17"/>
    <x:mergeCell ref="A18:C18"/>
    <x:mergeCell ref="A20:C20"/>
    <x:mergeCell ref="A21:C21"/>
    <x:mergeCell ref="A23:C23"/>
    <x:mergeCell ref="A24:C24"/>
    <x:mergeCell ref="A26:C26"/>
    <x:mergeCell ref="A27:C27"/>
  </x:mergeCells>
  <x:pageMargins left="0.7" right="0.7" top="0.75" bottom="0.75" header="0.3" footer="0.3"/>
</x:worksheet>
</file>

<file path=xl/worksheets/sheet11.xml><?xml version="1.0" encoding="utf-8"?>
<x:worksheet xmlns:x="http://schemas.openxmlformats.org/spreadsheetml/2006/main">
  <x:sheetFormatPr defaultColWidth="8.675926208496094" defaultRowHeight="14.399999618530273"/>
  <x:cols>
    <x:col min="1" max="1" width="28" style="1" customWidth="1"/>
    <x:col min="2" max="2" width="30" style="1" customWidth="1"/>
    <x:col min="3" max="3" width="80" style="1" customWidth="1"/>
    <x:col min="4" max="4" width="40" style="1" customWidth="1"/>
  </x:cols>
  <x:sheetData>
    <x:row r="1" ht="17.25" customHeight="1">
      <x:c r="A1" s="10" t="s">
        <x:v>514</x:v>
      </x:c>
    </x:row>
    <x:row r="2" ht="15" customHeight="1">
      <x:c r="A2" s="11" t="s">
        <x:v>515</x:v>
      </x:c>
    </x:row>
    <x:row r="4" ht="15" customHeight="1">
      <x:c r="A4" s="4" t="s">
        <x:v>516</x:v>
      </x:c>
      <x:c r="B4" s="4" t="s">
        <x:v>517</x:v>
      </x:c>
      <x:c r="C4" s="4" t="s">
        <x:v>518</x:v>
      </x:c>
      <x:c r="D4" s="4" t="s">
        <x:v>519</x:v>
      </x:c>
    </x:row>
    <x:row r="5" ht="15" customHeight="1">
      <x:c r="A5" s="12" t="s">
        <x:v>520</x:v>
      </x:c>
      <x:c r="B5" s="1">
        <x:v>10</x:v>
      </x:c>
      <x:c r="C5" s="13" t="s">
        <x:v>521</x:v>
      </x:c>
      <x:c r="D5" s="14"/>
    </x:row>
    <x:row r="6" ht="15" customHeight="1">
      <x:c r="A6" s="12" t="s">
        <x:v>522</x:v>
      </x:c>
      <x:c r="B6" s="1">
        <x:v>15</x:v>
      </x:c>
      <x:c r="C6" s="13" t="s">
        <x:v>523</x:v>
      </x:c>
      <x:c r="D6" s="14"/>
    </x:row>
    <x:row r="7" ht="15" customHeight="1">
      <x:c r="A7" s="12" t="s">
        <x:v>524</x:v>
      </x:c>
      <x:c r="B7" s="1">
        <x:v>15</x:v>
      </x:c>
      <x:c r="C7" s="13" t="s">
        <x:v>525</x:v>
      </x:c>
      <x:c r="D7" s="14"/>
    </x:row>
    <x:row r="8" ht="15" customHeight="1">
      <x:c r="A8" s="12" t="s">
        <x:v>526</x:v>
      </x:c>
      <x:c r="B8" s="1">
        <x:v>20</x:v>
      </x:c>
      <x:c r="C8" s="13" t="s">
        <x:v>527</x:v>
      </x:c>
      <x:c r="D8" s="14"/>
    </x:row>
    <x:row r="9" ht="15" customHeight="1">
      <x:c r="A9" s="12" t="s">
        <x:v>528</x:v>
      </x:c>
      <x:c r="B9" s="1">
        <x:v>20</x:v>
      </x:c>
      <x:c r="C9" s="13" t="s">
        <x:v>529</x:v>
      </x:c>
      <x:c r="D9" s="14"/>
    </x:row>
    <x:row r="10" ht="15" customHeight="1">
      <x:c r="A10" s="12" t="s">
        <x:v>530</x:v>
      </x:c>
      <x:c r="B10" s="1">
        <x:v>20</x:v>
      </x:c>
      <x:c r="C10" s="13" t="s">
        <x:v>531</x:v>
      </x:c>
      <x:c r="D10" s="14"/>
    </x:row>
    <x:row r="11" ht="15" customHeight="1">
      <x:c r="A11" s="15" t="s">
        <x:v>532</x:v>
      </x:c>
      <x:c r="B11" s="1" t="n">
        <x:f>SUM(B5:B10)</x:f>
        <x:v>100</x:v>
      </x:c>
      <x:c r="D11" s="16" t="n">
        <x:f>SUM(D5:D10)</x:f>
        <x:v>0</x:v>
      </x:c>
    </x:row>
    <x:row r="12" ht="15" customHeight="1">
      <x:c r="A12" s="15" t="s">
        <x:v>533</x:v>
      </x:c>
      <x:c r="B12" s="1" t="s">
        <x:v>534</x:v>
      </x:c>
      <x:c r="C12" s="1" t="s">
        <x:v>535</x:v>
      </x:c>
      <x:c r="D12" s="14"/>
    </x:row>
    <x:row r="15" ht="15" customHeight="1">
      <x:c r="A15" s="2" t="s">
        <x:v>536</x:v>
      </x:c>
    </x:row>
    <x:row r="16" ht="15" customHeight="1">
      <x:c r="A16" s="4" t="s">
        <x:v>516</x:v>
      </x:c>
      <x:c r="B16" s="4" t="s">
        <x:v>537</x:v>
      </x:c>
      <x:c r="C16" s="4" t="s">
        <x:v>538</x:v>
      </x:c>
      <x:c r="D16" s="4" t="s">
        <x:v>539</x:v>
      </x:c>
    </x:row>
    <x:row r="17" ht="45.75" customHeight="1">
      <x:c r="A17" s="17" t="s">
        <x:v>540</x:v>
      </x:c>
      <x:c r="B17" s="8" t="s">
        <x:v>541</x:v>
      </x:c>
      <x:c r="C17" s="8" t="s">
        <x:v>542</x:v>
      </x:c>
      <x:c r="D17" s="8" t="s">
        <x:v>543</x:v>
      </x:c>
    </x:row>
    <x:row r="18" ht="45.75" customHeight="1">
      <x:c r="A18" s="17" t="s">
        <x:v>544</x:v>
      </x:c>
      <x:c r="B18" s="8" t="s">
        <x:v>545</x:v>
      </x:c>
      <x:c r="C18" s="8" t="s">
        <x:v>546</x:v>
      </x:c>
      <x:c r="D18" s="8" t="s">
        <x:v>547</x:v>
      </x:c>
    </x:row>
    <x:row r="19" ht="45.75" customHeight="1">
      <x:c r="A19" s="17" t="s">
        <x:v>548</x:v>
      </x:c>
      <x:c r="B19" s="8" t="s">
        <x:v>549</x:v>
      </x:c>
      <x:c r="C19" s="8" t="s">
        <x:v>550</x:v>
      </x:c>
      <x:c r="D19" s="8" t="s">
        <x:v>551</x:v>
      </x:c>
    </x:row>
    <x:row r="20" ht="45.75" customHeight="1">
      <x:c r="A20" s="17" t="s">
        <x:v>552</x:v>
      </x:c>
      <x:c r="B20" s="8" t="s">
        <x:v>553</x:v>
      </x:c>
      <x:c r="C20" s="8" t="s">
        <x:v>554</x:v>
      </x:c>
      <x:c r="D20" s="8" t="s">
        <x:v>555</x:v>
      </x:c>
    </x:row>
    <x:row r="22" ht="15" customHeight="1">
      <x:c r="A22" s="3" t="s">
        <x:v>556</x:v>
      </x:c>
    </x:row>
  </x:sheetData>
  <x:pageMargins left="0.7" right="0.7" top="0.75" bottom="0.75" header="0.3" footer="0.3"/>
</x:worksheet>
</file>

<file path=xl/worksheets/sheet12.xml><?xml version="1.0" encoding="utf-8"?>
<x:worksheet xmlns:x="http://schemas.openxmlformats.org/spreadsheetml/2006/main">
  <x:sheetFormatPr defaultColWidth="8.675926208496094" defaultRowHeight="14.399999618530273"/>
  <x:cols>
    <x:col min="1" max="1" width="44" style="1" customWidth="1"/>
    <x:col min="2" max="3" width="22" style="1" customWidth="1"/>
    <x:col min="4" max="4" width="70" style="1" customWidth="1"/>
    <x:col min="5" max="5" width="48" style="1" customWidth="1"/>
  </x:cols>
  <x:sheetData>
    <x:row r="1" ht="15" customHeight="1">
      <x:c r="A1" s="2" t="s">
        <x:v>557</x:v>
      </x:c>
    </x:row>
    <x:row r="2" ht="15" customHeight="1">
      <x:c r="A2" s="3" t="s">
        <x:v>558</x:v>
      </x:c>
    </x:row>
    <x:row r="4" ht="27.75" customHeight="1">
      <x:c r="A4" s="4" t="s">
        <x:v>559</x:v>
      </x:c>
      <x:c r="B4" s="4" t="s">
        <x:v>560</x:v>
      </x:c>
      <x:c r="C4" s="4" t="s">
        <x:v>561</x:v>
      </x:c>
      <x:c r="D4" s="4" t="s">
        <x:v>562</x:v>
      </x:c>
      <x:c r="E4" s="4" t="s">
        <x:v>54</x:v>
      </x:c>
    </x:row>
    <x:row r="5" ht="15" customHeight="1">
      <x:c r="A5" s="5" t="s">
        <x:v>563</x:v>
      </x:c>
      <x:c r="B5" s="6">
        <x:v>0.1</x:v>
      </x:c>
      <x:c r="C5" s="6">
        <x:v>0.5</x:v>
      </x:c>
      <x:c r="D5" s="5" t="s">
        <x:v>564</x:v>
      </x:c>
      <x:c r="E5" s="5" t="s">
        <x:v>565</x:v>
      </x:c>
    </x:row>
    <x:row r="6" ht="15" customHeight="1">
      <x:c r="A6" s="5" t="s">
        <x:v>566</x:v>
      </x:c>
      <x:c r="B6" s="6">
        <x:v>2</x:v>
      </x:c>
      <x:c r="C6" s="6">
        <x:v>10</x:v>
      </x:c>
      <x:c r="D6" s="5" t="s">
        <x:v>567</x:v>
      </x:c>
      <x:c r="E6" s="5" t="s">
        <x:v>568</x:v>
      </x:c>
    </x:row>
    <x:row r="7" ht="15" customHeight="1">
      <x:c r="A7" s="5" t="s">
        <x:v>569</x:v>
      </x:c>
      <x:c r="B7" s="6">
        <x:v>1</x:v>
      </x:c>
      <x:c r="C7" s="6">
        <x:v>5</x:v>
      </x:c>
      <x:c r="D7" s="5" t="s">
        <x:v>570</x:v>
      </x:c>
      <x:c r="E7" s="5"/>
    </x:row>
    <x:row r="8" ht="15" customHeight="1">
      <x:c r="A8" s="5" t="s">
        <x:v>571</x:v>
      </x:c>
      <x:c r="B8" s="6">
        <x:v>2</x:v>
      </x:c>
      <x:c r="C8" s="6">
        <x:v>10</x:v>
      </x:c>
      <x:c r="D8" s="5" t="s">
        <x:v>570</x:v>
      </x:c>
      <x:c r="E8" s="5" t="s">
        <x:v>572</x:v>
      </x:c>
    </x:row>
    <x:row r="11" ht="15" customHeight="1">
      <x:c r="A11" s="4" t="s">
        <x:v>573</x:v>
      </x:c>
      <x:c r="B11" s="4" t="s">
        <x:v>144</x:v>
      </x:c>
      <x:c r="C11" s="4" t="s">
        <x:v>145</x:v>
      </x:c>
      <x:c r="D11" s="4" t="s">
        <x:v>574</x:v>
      </x:c>
      <x:c r="E11" s="4" t="s">
        <x:v>54</x:v>
      </x:c>
    </x:row>
    <x:row r="12" ht="15" customHeight="1">
      <x:c r="A12" s="5" t="s">
        <x:v>575</x:v>
      </x:c>
      <x:c r="B12" s="7">
        <x:v>26170</x:v>
      </x:c>
      <x:c r="C12" s="5" t="s">
        <x:v>164</x:v>
      </x:c>
      <x:c r="D12" s="5" t="s">
        <x:v>576</x:v>
      </x:c>
      <x:c r="E12" s="5" t="s">
        <x:v>577</x:v>
      </x:c>
    </x:row>
    <x:row r="13" ht="15" customHeight="1">
      <x:c r="A13" s="5" t="s">
        <x:v>578</x:v>
      </x:c>
      <x:c r="B13" s="7">
        <x:v>25636</x:v>
      </x:c>
      <x:c r="C13" s="5" t="s">
        <x:v>164</x:v>
      </x:c>
      <x:c r="D13" s="5" t="s">
        <x:v>579</x:v>
      </x:c>
      <x:c r="E13" s="5" t="s">
        <x:v>580</x:v>
      </x:c>
    </x:row>
    <x:row r="14" ht="15" customHeight="1">
      <x:c r="A14" s="5" t="s">
        <x:v>581</x:v>
      </x:c>
      <x:c r="B14" s="7">
        <x:v>5310000</x:v>
      </x:c>
      <x:c r="C14" s="5" t="s">
        <x:v>212</x:v>
      </x:c>
      <x:c r="D14" s="5" t="s">
        <x:v>582</x:v>
      </x:c>
      <x:c r="E14" s="5" t="s">
        <x:v>583</x:v>
      </x:c>
    </x:row>
    <x:row r="15" ht="15" customHeight="1">
      <x:c r="A15" s="5" t="s">
        <x:v>584</x:v>
      </x:c>
      <x:c r="B15" s="7">
        <x:v>25500</x:v>
      </x:c>
      <x:c r="C15" s="5" t="s">
        <x:v>178</x:v>
      </x:c>
      <x:c r="D15" s="5" t="s">
        <x:v>582</x:v>
      </x:c>
      <x:c r="E15" s="5" t="s">
        <x:v>585</x:v>
      </x:c>
    </x:row>
    <x:row r="18" ht="15" customHeight="1">
      <x:c r="A18" s="4" t="s">
        <x:v>586</x:v>
      </x:c>
      <x:c r="B18" s="4" t="s">
        <x:v>587</x:v>
      </x:c>
    </x:row>
    <x:row r="19" ht="48" customHeight="1">
      <x:c r="A19" s="8" t="s">
        <x:v>588</x:v>
      </x:c>
      <x:c r="B19" s="9" t="s">
        <x:v>589</x:v>
      </x:c>
      <x:c r="C19" s="9"/>
      <x:c r="D19" s="9"/>
      <x:c r="E19" s="9"/>
    </x:row>
    <x:row r="20" ht="48" customHeight="1">
      <x:c r="A20" s="8" t="s">
        <x:v>590</x:v>
      </x:c>
      <x:c r="B20" s="9" t="s">
        <x:v>591</x:v>
      </x:c>
      <x:c r="C20" s="9"/>
      <x:c r="D20" s="9"/>
      <x:c r="E20" s="9"/>
    </x:row>
    <x:row r="21" ht="48" customHeight="1">
      <x:c r="A21" s="8" t="s">
        <x:v>592</x:v>
      </x:c>
      <x:c r="B21" s="9" t="s">
        <x:v>593</x:v>
      </x:c>
      <x:c r="C21" s="9"/>
      <x:c r="D21" s="9"/>
      <x:c r="E21" s="9"/>
    </x:row>
    <x:row r="23" ht="15" customHeight="1">
      <x:c r="A23" s="4" t="s">
        <x:v>594</x:v>
      </x:c>
      <x:c r="B23" s="4" t="s">
        <x:v>595</x:v>
      </x:c>
    </x:row>
    <x:row r="24" ht="48" customHeight="1">
      <x:c r="A24" s="8" t="s">
        <x:v>596</x:v>
      </x:c>
      <x:c r="B24" s="9" t="s">
        <x:v>597</x:v>
      </x:c>
      <x:c r="C24" s="9"/>
      <x:c r="D24" s="9"/>
      <x:c r="E24" s="9"/>
    </x:row>
    <x:row r="25" ht="48" customHeight="1">
      <x:c r="A25" s="8" t="s">
        <x:v>598</x:v>
      </x:c>
      <x:c r="B25" s="9" t="s">
        <x:v>599</x:v>
      </x:c>
      <x:c r="C25" s="9"/>
      <x:c r="D25" s="9"/>
      <x:c r="E25" s="9"/>
    </x:row>
    <x:row r="26" ht="48" customHeight="1">
      <x:c r="A26" s="8" t="s">
        <x:v>600</x:v>
      </x:c>
      <x:c r="B26" s="9" t="s">
        <x:v>601</x:v>
      </x:c>
      <x:c r="C26" s="9"/>
      <x:c r="D26" s="9"/>
      <x:c r="E26" s="9"/>
    </x:row>
    <x:row r="27" ht="48" customHeight="1">
      <x:c r="A27" s="8" t="s">
        <x:v>602</x:v>
      </x:c>
      <x:c r="B27" s="9" t="s">
        <x:v>603</x:v>
      </x:c>
      <x:c r="C27" s="9"/>
      <x:c r="D27" s="9"/>
      <x:c r="E27" s="9"/>
    </x:row>
    <x:row r="28" ht="48" customHeight="1">
      <x:c r="A28" s="8" t="s">
        <x:v>604</x:v>
      </x:c>
      <x:c r="B28" s="9" t="s">
        <x:v>605</x:v>
      </x:c>
      <x:c r="C28" s="9"/>
      <x:c r="D28" s="9"/>
      <x:c r="E28" s="9"/>
    </x:row>
  </x:sheetData>
  <x:mergeCells>
    <x:mergeCell ref="B19:E19"/>
    <x:mergeCell ref="B20:E20"/>
    <x:mergeCell ref="B21:E21"/>
    <x:mergeCell ref="B24:E24"/>
    <x:mergeCell ref="B25:E25"/>
    <x:mergeCell ref="B26:E26"/>
    <x:mergeCell ref="B27:E27"/>
    <x:mergeCell ref="B28:E28"/>
  </x:mergeCells>
  <x:pageMargins left="0.7" right="0.7" top="0.75" bottom="0.75" header="0.3" footer="0.3"/>
</x:worksheet>
</file>