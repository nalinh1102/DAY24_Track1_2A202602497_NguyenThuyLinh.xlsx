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000" activeTab="2"/>
  </bookViews>
  <sheets>
    <sheet name="0_Hướng dẫn" sheetId="1" r:id="rId1"/>
    <sheet name="0_Đầu vào" sheetId="2" r:id="rId2"/>
    <sheet name="A_Tài chính căn bản" sheetId="3" r:id="rId3"/>
    <sheet name="1_Chi phí mỗi việc" sheetId="4" r:id="rId4"/>
    <sheet name="2_Định giá" sheetId="5" r:id="rId5"/>
    <sheet name="3_Giả định" sheetId="6" r:id="rId6"/>
    <sheet name="4_Chỉ số mỗi khách" sheetId="7" r:id="rId7"/>
    <sheet name="5_Dòng tiền &amp; hiệu quả" sheetId="8" r:id="rId8"/>
    <sheet name="6_Hiệu quả nội bộ" sheetId="9" r:id="rId9"/>
    <sheet name="7_Quyết định" sheetId="10" r:id="rId10"/>
    <sheet name="8_Thang điểm" sheetId="11" r:id="rId11"/>
    <sheet name="9_Số tham khảo"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<sst xmlns="http://schemas.openxmlformats.org/spreadsheetml/2006/main" count="782" uniqueCount="640">
  <si>
    <t>CS9 · Kinh tế sản phẩm AI: chi phí, định giá, hiệu quả đầu tư — File thực hành</t>
  </si>
  <si>
    <t>AI in Action · Track 1 · Khóa 4. FILE LÀM BÀI CỦA NHÓM. Nhóm chưa có dự án chung: chọn 1 trong 3 đề bài giả định (file CS9_DeBai_GiaDinh.pdf). Ví dụ cách điền: bản mẫu "trợ lý AI trả lời tin nhắn Zalo cho cửa hàng nhỏ" ở cột Gợi ý (trang 1, 3, 6), bảng cách nhập ở trang 2, và trong file CS9_HuongDan_HocVien.pdf.</t>
  </si>
  <si>
    <t>Ô tự kiểm tra: "Đạt" là ổn. "Xem lại", "Chưa đủ sốc" là câu hỏi để nhóm soát: sửa nếu nhập sai; nếu số đúng thì giữ nguyên và giải thích ở trang 7. Không chỉnh giả định chỉ để được "Đạt".</t>
  </si>
  <si>
    <t>Luật chơi: CHỈ điền vào ô màu VÀNG (một số ô vàng có sẵn số mặc định, sửa được). Ô màu XANH LÁ NHẠT là công thức, đã khóa. Cột "Gợi ý" chữ xám (trang 1, 3, 6) chỉ cách lấy số và giá trị của bản mẫu, không cần điền.</t>
  </si>
  <si>
    <t>Thứ tự và thời gian: Nhiệm vụ 0 · trang 0 (5 phút) → Phần A · trang A: Bài 1 (10 phút), rồi Bài 2, Bài 3 và câu 1–3 (14 phút) → Nhiệm vụ 1 · trang 1 (15 phút) → Nhiệm vụ 2 · trang 2 (15 phút) → Nhiệm vụ 3 · trang 3, 4, 5 (26 phút) → Nhiệm vụ 4 · trang 6 (chỉ khi sản phẩm phục vụ chính công ty) và trang 7 (23 phút), rồi nộp file. Hết giờ mà chưa xong: để nguyên, sang việc kế tiếp, cuối giờ quay lại.</t>
  </si>
  <si>
    <t>Mỗi con số phải có NGUỒN hoặc LÝ DO ở cột "Nguồn / lý do". Gắn nhãn như Ngày 23: [NGÀNH] số chuẩn ngành, có đường dẫn · [TỰ TÍNH] tính từ mô hình · [TỰ ĐO] nhóm tự đo. Số chưa có nguồn, chưa đo: ghi "Giả định: … vì … · sẽ đo bằng …". Không gắn [NGÀNH] khi không chỉ ra được nguồn. Không nguồn, không lý do = bị trừ điểm.</t>
  </si>
  <si>
    <t>Giá token: tra bảng giá chính thức của nhà cung cấp vào ngày làm bài, ghi tên mô hình và ngày tra. Tỷ giá: ghi nguồn và ngày. Trang 9 có sẵn một số số liệu đã kiểm chứng.</t>
  </si>
  <si>
    <t>Kịch bản xấu phải là cú sốc thật: tỷ lệ rời bỏ và chi phí có một khách tối thiểu gấp 1,5 lần kịch bản cơ sở (trang 3 tự kiểm tra).</t>
  </si>
  <si>
    <t>Ngưỡng tham khảo (không phải luật): giá mỗi việc ≥ 3 × chi phí mỗi việc · biên lợi nhuận gộp bình quân ≥ 60% · LTV ÷ CAC &gt; 3 · hoàn vốn chi phí có khách &lt; 12 tháng · kịch bản xấu còn tiền ≥ 12 tháng hoặc có kế hoạch cắt giảm. Mốc 50% ở trang 2 là cách đọc của Ngày 23 cho biên SAU KHI CHIA cho đối tác. Khi ra quyết định, ưu tiên mức tự tính ở trang 5, dòng 72–77.</t>
  </si>
  <si>
    <t>Tên file nộp: [Nhom]_CS9.xlsx · Nộp lên VLearn khi hết Nhiệm vụ 4.</t>
  </si>
  <si>
    <t>Nối hai buổi trước: mang phiếu bài tập 1 và bài về nhà một trang của Ngày 22 (định giá, kênh bán), và bảng theo dõi chỉ số của Ngày 23. Trang 0 chỉ chỗ dùng từng thứ.</t>
  </si>
  <si>
    <t>Nguồn tham khảo khung bài: AI in Action khóa 3 — Ngày 24 Mô hình tài chính (slide và sổ tay), Ngày 25 Định giá và đưa sản phẩm ra thị trường (Đàm Bá Quyền). File này được dựng lại cho khóa 4.</t>
  </si>
  <si>
    <t>Cách gõ số: ô có đơn vị % thì gõ kèm dấu % (ví dụ 10%). Số tiền gõ liền, không dấu ngăn cách (ví dụ 150000000). Số thập phân theo máy: máy đặt tiếng Việt gõ 0,4; máy đặt tiếng Anh gõ 0.4. Điền rồi mà ô kết quả vẫn bằng 0: kiểm tra lại dấu thập phân.</t>
  </si>
  <si>
    <t>Đơn vị tiền: trang A tính bằng TRIỆU đồng; từ trang 1 trở đi tính bằng ĐỒNG, riêng bảng độ nhạy ở trang 5 (dòng 56–68) ghi bằng triệu đồng.</t>
  </si>
  <si>
    <t>Chú thích màu:</t>
  </si>
  <si>
    <t>Ô điền giả định (không khóa)</t>
  </si>
  <si>
    <t>Ô công thức (tự tính, đã khóa)</t>
  </si>
  <si>
    <t>Chữ xám nghiêng ở cột Gợi ý: cách lấy số và giá trị bản mẫu (không cần điền)</t>
  </si>
  <si>
    <t>0 · Nhiệm vụ 0: gom đầu vào — có thì tận dụng, chưa có thì làm mới (5 phút)</t>
  </si>
  <si>
    <t>Đánh dấu nhóm đã có hay chưa. Cả hai lối đi đều đủ điểm. Dùng số thật từ buổi trước được cộng tối đa 10 điểm.</t>
  </si>
  <si>
    <t>Có thể đã có từ buổi trước</t>
  </si>
  <si>
    <t>Nhóm đã có chưa?</t>
  </si>
  <si>
    <t>Nếu ĐÃ CÓ: dùng ở đâu</t>
  </si>
  <si>
    <t>Nếu CHƯA CÓ: làm gì</t>
  </si>
  <si>
    <t>Ghi chú (tên file, đường dẫn)</t>
  </si>
  <si>
    <t>Mô hình hiệu quả đầu tư 3–6–12 tháng và tài liệu yêu cầu sản phẩm (Phase 1, Ngày 6)</t>
  </si>
  <si>
    <t>Chưa có</t>
  </si>
  <si>
    <t>Làm phiên bản 2; so sánh con số cũ và mới ở trang 3–5</t>
  </si>
  <si>
    <t>Dựng mới trên file này</t>
  </si>
  <si>
    <t>Không sử dụng dữ liệu dự án cũ; thay bằng Đề bài 3 – ShopViết, CS9_DeBai_GiaDinh.pdf (tr. 6–7).</t>
  </si>
  <si>
    <t>Bảng giám sát agent: token, chi phí theo ngày (Ngày 13)</t>
  </si>
  <si>
    <t>Lấy số lần gọi AI và token thật ở trang 1</t>
  </si>
  <si>
    <t>Chạy thử 5 câu hỏi, xem số token ở trang quản lý API (cách làm: trang 1, cột Gợi ý)</t>
  </si>
  <si>
    <t>Báo cáo đánh giá chất lượng (Ngày 14 hoặc buổi đánh giá Track 1)</t>
  </si>
  <si>
    <t>Tỷ lệ chưa đạt → tỷ lệ cần người kiểm tra ở trang 1</t>
  </si>
  <si>
    <t>Giả định 10–20%, ghi lý do</t>
  </si>
  <si>
    <t>Phiếu bài tập 1 và bài về nhà một trang (Ngày 22)</t>
  </si>
  <si>
    <t>Cách tính tiền, chi phí mỗi việc, giá đề xuất: chép vào trang 1–2 rồi soát lại</t>
  </si>
  <si>
    <t>Làm nhanh ở Nhiệm vụ 1–2 theo bản mẫu (cột Gợi ý ở trang 1–2)</t>
  </si>
  <si>
    <t>Bảng theo dõi chỉ số và luật xử lý (Ngày 23)</t>
  </si>
  <si>
    <t>Điền mức cảnh báo tự tính (trang 5, dòng 72–77) vào cột [TỰ TÍNH]</t>
  </si>
  <si>
    <t>Dùng bảng mức cảnh báo ở trang 5 làm khung</t>
  </si>
  <si>
    <t>Sản phẩm của nhóm từ các buổi trước</t>
  </si>
  <si>
    <t>Có</t>
  </si>
  <si>
    <t>Dùng xuyên suốt</t>
  </si>
  <si>
    <t>Nhóm ngồi chung bàn nhưng khác dự án: chọn 1 trong 3 đề bài giả định trong file CS9_DeBai_GiaDinh.pdf (đề cho sẵn số liệu trang 1–3; ghi tên đề ở cột Ghi chú)</t>
  </si>
  <si>
    <t>Đề bài 3 – ShopViết; CS9_DeBai_GiaDinh.pdf, trang 6–7.</t>
  </si>
  <si>
    <t>Số đầu vào nhóm đã có</t>
  </si>
  <si>
    <t>Điểm thưởng gợi ý (tối đa 10): 2 điểm cho mỗi đầu vào đã có và thật sự được dùng trong bài</t>
  </si>
  <si>
    <t>A · Bài tập tài chính doanh nghiệp căn bản: lập ba báo cáo tài chính</t>
  </si>
  <si>
    <t>Công ty Trợ Lý Xanh bán trợ lý AI trả lời tin nhắn. Dưới đây là mọi giao dịch của 3 tháng đầu. Lập báo cáo kết quả kinh doanh, bảng cân đối kế toán và báo cáo lưu chuyển tiền tệ.</t>
  </si>
  <si>
    <t>Đơn vị: triệu đồng. Điền ô VÀNG, kể cả các dòng lợi nhuận và dòng tổng (gõ số hoặc công thức như =SUM). Ô tự kiểm tra (cột G) chỉ báo cộng trừ đúng và ba báo cáo khớp nhau; "Đạt" chưa chắc đã ghi đúng kỳ. Dòng 33 kiểm tra riêng việc ghi theo kỳ.</t>
  </si>
  <si>
    <t>ĐỀ BÀI · Giao dịch 3 tháng đầu</t>
  </si>
  <si>
    <t>STT</t>
  </si>
  <si>
    <t>Giao dịch</t>
  </si>
  <si>
    <t>Tháng 1</t>
  </si>
  <si>
    <t>Tháng 2</t>
  </si>
  <si>
    <t>Tháng 3</t>
  </si>
  <si>
    <t>Ghi chú</t>
  </si>
  <si>
    <t>Bài 1 · Vào báo cáo kết quả? (Có / Không · vì sao)</t>
  </si>
  <si>
    <t>Chủ sở hữu góp vốn bằng tiền</t>
  </si>
  <si>
    <t>Không: vốn góp, không phải doanh thu.</t>
  </si>
  <si>
    <t>Vay ngân hàng, gốc trả sau 3 năm</t>
  </si>
  <si>
    <t>Lãi 12%/năm, trả cuối mỗi tháng</t>
  </si>
  <si>
    <t>Không: tiền vay là nợ; chỉ lãi vay 3 triệu/tháng là chi phí.</t>
  </si>
  <si>
    <t>Mua máy chủ, trả tiền ngay</t>
  </si>
  <si>
    <t>Dùng 36 tháng, khấu hao đều</t>
  </si>
  <si>
    <t>Có: khấu hao 10 triệu/tháng, không ghi toàn bộ tiền mua vào chi phí.</t>
  </si>
  <si>
    <t>Bán gói tháng cho cửa hàng nhỏ, thu tiền ngay</t>
  </si>
  <si>
    <t>Có: doanh thu dịch vụ 50/80/110 triệu theo tháng.</t>
  </si>
  <si>
    <t>Ngân hàng X trả trước gói 12 tháng</t>
  </si>
  <si>
    <t>Dịch vụ chạy đều từ tháng 1</t>
  </si>
  <si>
    <t>Có: doanh thu 20 triệu/tháng; 180 triệu còn lại là doanh thu chưa thực hiện.</t>
  </si>
  <si>
    <t>Dự án triển khai cho công ty Y được nghiệm thu</t>
  </si>
  <si>
    <t>Y trả tiền sau 60 ngày (tháng 4)</t>
  </si>
  <si>
    <t>Có: 90 triệu doanh thu tháng 2, dù tháng 4 mới thu.</t>
  </si>
  <si>
    <t>Chi phí gọi AI phát sinh trong tháng</t>
  </si>
  <si>
    <t>Nhà cung cấp cho trả vào tháng sau</t>
  </si>
  <si>
    <t>Có: giá vốn 15/25/35 triệu khi phát sinh; chưa thanh toán không đổi kỳ chi phí.</t>
  </si>
  <si>
    <t>Người kiểm tra câu trả lời, trả trong tháng</t>
  </si>
  <si>
    <t>Có: giá vốn 10 triệu/tháng.</t>
  </si>
  <si>
    <t>Lương đội phát triển và bán hàng, trả trong tháng</t>
  </si>
  <si>
    <t>Có: chi phí hoạt động 120 triệu/tháng.</t>
  </si>
  <si>
    <t>Thuê văn phòng, trả trong tháng</t>
  </si>
  <si>
    <t>Có: chi phí hoạt động 20 triệu/tháng.</t>
  </si>
  <si>
    <t>Thuế thu nhập doanh nghiệp</t>
  </si>
  <si>
    <t>Lỗ lũy kế nên chưa phát sinh thuế</t>
  </si>
  <si>
    <t>Có: thuế bằng 0 do lỗ lũy kế.</t>
  </si>
  <si>
    <t>BÀI 1 · BÁO CÁO KẾT QUẢ KINH DOANH (10 phút). Ghi theo tháng phát sinh, không theo ngày tiền vào ra. Chi phí ghi số dương; dòng lợi nhuận = kết quả cộng trừ.</t>
  </si>
  <si>
    <t>Khoản mục</t>
  </si>
  <si>
    <t>Cộng 3 tháng</t>
  </si>
  <si>
    <t>Tự kiểm tra</t>
  </si>
  <si>
    <t>Doanh thu</t>
  </si>
  <si>
    <t>Giá vốn (gọi AI + người kiểm tra)</t>
  </si>
  <si>
    <t>Lợi nhuận gộp</t>
  </si>
  <si>
    <t>Chi phí hoạt động (lương + văn phòng)</t>
  </si>
  <si>
    <t>Lợi nhuận trước lãi vay, thuế và khấu hao (EBITDA)</t>
  </si>
  <si>
    <t>Khấu hao</t>
  </si>
  <si>
    <t>Lợi nhuận hoạt động</t>
  </si>
  <si>
    <t>Lãi vay</t>
  </si>
  <si>
    <t>Lợi nhuận trước thuế</t>
  </si>
  <si>
    <t>Lợi nhuận sau thuế</t>
  </si>
  <si>
    <t>Biên lợi nhuận gộp</t>
  </si>
  <si>
    <t>KIỂM TRA ghi theo kỳ: tổng lợi nhuận sau thuế 3 tháng (ô F31) có bằng −174 (số ở câu 3) không?</t>
  </si>
  <si>
    <t>BÀI 2 · BẢNG CÂN ĐỐI KẾ TOÁN cuối tháng 3 (Bài 2 và 3: 14 phút). Hao mòn lũy kế ghi số âm; lợi nhuận giữ lại đang lỗ thì ghi số âm.</t>
  </si>
  <si>
    <t>Số tiền</t>
  </si>
  <si>
    <t>TÀI SẢN</t>
  </si>
  <si>
    <t>Tiền</t>
  </si>
  <si>
    <t>Phải thu khách hàng</t>
  </si>
  <si>
    <t>Máy chủ — nguyên giá</t>
  </si>
  <si>
    <t>Hao mòn lũy kế</t>
  </si>
  <si>
    <t>Tổng tài sản</t>
  </si>
  <si>
    <t>NỢ PHẢI TRẢ</t>
  </si>
  <si>
    <t>Phải trả nhà cung cấp</t>
  </si>
  <si>
    <t>Doanh thu chưa thực hiện</t>
  </si>
  <si>
    <t>Vay ngân hàng</t>
  </si>
  <si>
    <t>Tổng nợ phải trả</t>
  </si>
  <si>
    <t>VỐN CHỦ SỞ HỮU</t>
  </si>
  <si>
    <t>Vốn góp</t>
  </si>
  <si>
    <t>Lợi nhuận giữ lại</t>
  </si>
  <si>
    <t>Tổng vốn chủ sở hữu</t>
  </si>
  <si>
    <t>Tổng nợ phải trả + vốn chủ sở hữu</t>
  </si>
  <si>
    <t>KIỂM TRA: Tài sản = Nợ phải trả + Vốn chủ sở hữu?</t>
  </si>
  <si>
    <t>KIỂM TRA: Lợi nhuận giữ lại = tổng lợi nhuận sau thuế 3 tháng (bài 1)?</t>
  </si>
  <si>
    <t>BÀI 3 · BÁO CÁO LƯU CHUYỂN TIỀN TỆ 3 tháng, phương pháp gián tiếp. Tiền vào ghi số dương, tiền ra ghi số âm; dòng 58–61 theo đúng chữ "Cộng" / "Trừ" ở đầu dòng.</t>
  </si>
  <si>
    <t>Cộng: khấu hao (không phải tiền chi ra) → số dương</t>
  </si>
  <si>
    <t>Trừ: phải thu khách hàng tăng thêm (đã ghi doanh thu, chưa thu tiền) → số âm</t>
  </si>
  <si>
    <t>Cộng: phải trả nhà cung cấp tăng thêm (đã ghi chi phí, chưa trả tiền) → số dương</t>
  </si>
  <si>
    <t>Cộng: doanh thu chưa thực hiện tăng thêm (khách trả trước) → số dương</t>
  </si>
  <si>
    <t>Dòng tiền từ hoạt động kinh doanh</t>
  </si>
  <si>
    <t>Mua máy chủ (tiền ra → số âm)</t>
  </si>
  <si>
    <t>Dòng tiền từ hoạt động đầu tư</t>
  </si>
  <si>
    <t>Góp vốn (tiền vào → số dương)</t>
  </si>
  <si>
    <t>Vay ngân hàng (tiền vào → số dương)</t>
  </si>
  <si>
    <t>Dòng tiền từ hoạt động tài chính</t>
  </si>
  <si>
    <t>Tiền tăng thêm trong kỳ</t>
  </si>
  <si>
    <t>Tiền đầu kỳ</t>
  </si>
  <si>
    <t>Tiền cuối kỳ</t>
  </si>
  <si>
    <t>KIỂM TRA: Tiền cuối kỳ = dòng Tiền trên bảng cân đối?</t>
  </si>
  <si>
    <t>KIỂM TRA: Lợi nhuận sau thuế = bài 1?</t>
  </si>
  <si>
    <t>CÂU HỎI 1–4 (làm sau Bài 2 và 3; câu 4 làm khi xong sớm). Mỗi câu 1–2 câu văn.</t>
  </si>
  <si>
    <t>1. Tháng nào có lãi? Trong tháng đó tiền mặt tăng hay giảm, bao nhiêu, vì sao? (Gợi ý: chỉ cộng tiền thật vào và ra trong tháng đó: tiền gọi AI tháng 1 trả trong tháng 2; 90 triệu dự án Y chưa thu.)</t>
  </si>
  <si>
    <t>Chỉ tháng 2 có lãi 2 triệu. Tiền mặt tháng 2 giảm 88 triệu: thu 80, trả AI tháng 1 là 15, kiểm tra 10, lương 120, văn phòng 20, lãi vay 3 (triệu đồng).</t>
  </si>
  <si>
    <t>2. 240 triệu ngân hàng X trả trước nằm ở đâu trên bảng cân đối cuối tháng 3, bao nhiêu? Vì sao không ghi hết vào doanh thu?</t>
  </si>
  <si>
    <t>Cuối tháng 3 còn 180 triệu doanh thu chưa thực hiện (nợ phải trả), vì mới cung cấp 3/12 tháng của khoản thu trước 240 triệu; 60 triệu đã ghi nhận doanh thu.</t>
  </si>
  <si>
    <t>3. Lỗ 174 triệu mà dòng tiền kinh doanh chỉ âm 19 triệu. Khoản nào bù vào? Có nên vui không?</t>
  </si>
  <si>
    <t>Lỗ sau thuế 174 triệu nhưng dòng tiền kinh doanh chỉ âm 19 triệu do cộng lại khấu hao 30, cộng phải trả nhà cung cấp 35 và doanh thu nhận trước 180, trừ phải thu khách hàng 90.</t>
  </si>
  <si>
    <t>4. (Xong sớm) Nếu từ tháng 4 mọi thứ giữ như tháng 3, công ty còn trụ được khoảng bao nhiêu tháng?</t>
  </si>
  <si>
    <t>Nếu mỗi tháng giống tháng 3 và thu/chi tiếp tục theo lịch cũ, cần dự phóng dòng tiền thực tế, không thể suy ra thời gian sống chỉ từ lợi nhuận. Tiền cuối tháng 3 là 921 triệu; cần tính riêng nghĩa vụ nợ và khoản khách trả trước.</t>
  </si>
  <si>
    <t>BÀI 5 · (Xong sớm) MUA MÁY CHỦ HAY THUÊ ĐÁM MÂY — so bằng giá trị hiện tại</t>
  </si>
  <si>
    <t>Mua: trả 360 triệu ngay, dùng 36 tháng. Thuê đám mây cùng cấu hình: 12 triệu/tháng, trả cuối mỗi tháng, trong 36 tháng. Bỏ qua chi phí vận hành và giá trị còn lại của máy.</t>
  </si>
  <si>
    <t>Giá mua máy chủ (triệu đồng)</t>
  </si>
  <si>
    <t>Tiền thuê mỗi tháng (triệu đồng)</t>
  </si>
  <si>
    <t>Số tháng</t>
  </si>
  <si>
    <t>Chi phí vốn / năm</t>
  </si>
  <si>
    <t>Giá trị hiện tại của 36 tháng tiền thuê. Gợi ý: =PV(C85/12; C84; -C83). Dấu trừ trước C83 để kết quả là số dương; máy đặt tiếng Anh dùng dấu phẩy thay dấu chấm phẩy.</t>
  </si>
  <si>
    <t>Nên mua hay thuê? (chọn Mua hoặc Thuê trong danh sách)</t>
  </si>
  <si>
    <t>Nếu chi phí vốn chỉ 8%/năm: giá trị hiện tại của tiền thuê (gợi ý: =PV(0,08/12; C84; -C83))</t>
  </si>
  <si>
    <t>Khi đó nên mua hay thuê?</t>
  </si>
  <si>
    <t>1 · Chi phí để AI làm xong 1 việc</t>
  </si>
  <si>
    <t>'Việc' = 1 đơn vị công việc khách nhận được, ví dụ: 1 hội thoại được trả lời, 1 hồ sơ được đọc, 1 cuộc gọi.</t>
  </si>
  <si>
    <t>Chỉ tính chi phí phục vụ từng việc (giá vốn). KHÔNG tính lương đội phát triển (→ chi phí cố định), chi phí thử sai trước khi ra mắt (→ chi phí xây dựng ban đầu) và quảng cáo, bán hàng (→ chi phí có một khách); cả ba ở trang 3, nếu không sẽ bị trừ hai lần.</t>
  </si>
  <si>
    <t>Hạng mục</t>
  </si>
  <si>
    <t>Giá trị</t>
  </si>
  <si>
    <t>Đơn vị</t>
  </si>
  <si>
    <t>Nguồn / lý do</t>
  </si>
  <si>
    <t>Gợi ý cách lấy số · bản mẫu</t>
  </si>
  <si>
    <t>Mô tả 1 việc (Ngày 22 gọi là job)</t>
  </si>
  <si>
    <t>AI nhận thông tin sản phẩm hoặc đánh giá của người mua và tạo 1 mô tả sản phẩm hoặc 1 câu trả lời đánh giá để chủ shop duyệt.</t>
  </si>
  <si>
    <t>Đề bài 3 – ShopViết, CS9_DeBai_GiaDinh.pdf tr. 6</t>
  </si>
  <si>
    <t>Một câu: AI nhận gì, trả ra gì cho khách. Bản mẫu: trả lời 1 hội thoại Zalo của khách cho cửa hàng nhỏ.</t>
  </si>
  <si>
    <t>Số lần gọi mô hình / việc</t>
  </si>
  <si>
    <t>lần</t>
  </si>
  <si>
    <t>Đếm số bước phải gọi mô hình cho 1 việc: hiểu câu hỏi, tra cứu, soạn trả lời, tự kiểm tra. Bản mẫu: 2.</t>
  </si>
  <si>
    <t>Token đầu vào / lần gọi</t>
  </si>
  <si>
    <t>token</t>
  </si>
  <si>
    <t>Gồm câu lệnh hệ thống + tài liệu tra cứu + lịch sử hội thoại + câu hỏi. Có bảng giám sát agent thì lấy số thật; chưa có thì chạy thử 5 câu và xem số token ở trang quản lý API. Bản mẫu: 2.000.</t>
  </si>
  <si>
    <t>Token đầu ra / lần gọi</t>
  </si>
  <si>
    <t>Độ dài câu trả lời, đếm bằng cách chạy thử. Bản mẫu: 300 (1–3 câu ngắn).</t>
  </si>
  <si>
    <t>Giá token đầu vào</t>
  </si>
  <si>
    <t>USD / 1 triệu token</t>
  </si>
  <si>
    <t>Đề bài 3 – ShopViết, CS9_DeBai_GiaDinh.pdf tr. 6; giá token và tỷ giá theo dữ liệu bài tập (không phải báo giá mới)</t>
  </si>
  <si>
    <t>Chọn 1 mô hình ở trang 9 hoặc trang giá chính thức. Ghi tên mô hình, ngày tra, đường dẫn ở cột D. Bản mẫu: 0,4 USD (mô hình nhỏ giả định; nhóm thay bằng giá mô hình thật).</t>
  </si>
  <si>
    <t>Giá token đầu ra</t>
  </si>
  <si>
    <t>Như dòng 9. Giá đầu ra thường cao hơn đầu vào nhiều lần. Bản mẫu: 1,6 USD.</t>
  </si>
  <si>
    <t>Tỷ giá</t>
  </si>
  <si>
    <t>VND / USD</t>
  </si>
  <si>
    <t>Tỷ giá bán ra Vietcombank ở trang 9 (26.170 đồng, ngày 04/10/2026) hoặc tra mới, ghi ngày. Bản mẫu: 26.000.</t>
  </si>
  <si>
    <t>Tỷ lệ gọi lại khi lỗi</t>
  </si>
  <si>
    <t>%</t>
  </si>
  <si>
    <t>Tỷ lệ việc phải gọi lại vì lỗi, hết thời gian chờ, trả lời hỏng. Chưa đo: giả định 5–10%, ghi lý do. Bản mẫu: 10%.</t>
  </si>
  <si>
    <t>Hạ tầng / việc (máy chủ, cơ sở dữ liệu, gửi tin)</t>
  </si>
  <si>
    <t>VND</t>
  </si>
  <si>
    <t>Hoá đơn hạ tầng tăng theo lượt dùng (máy chủ, cơ sở dữ liệu, gửi tin) mỗi tháng ÷ số việc mỗi tháng. Phần trả cố định hằng tháng để ở trang 3, dòng 11. Bản mẫu: 100 đồng.</t>
  </si>
  <si>
    <t>Tỷ lệ việc cần người kiểm tra</t>
  </si>
  <si>
    <t>Lấy từ báo cáo đánh giá chất lượng (tỷ lệ trả lời chưa đạt). Chưa có: giả định 10–20%. Bản mẫu: 10%.</t>
  </si>
  <si>
    <t>Số phút người kiểm tra / việc</t>
  </si>
  <si>
    <t>phút</t>
  </si>
  <si>
    <t>Thời gian 1 người đọc và sửa 1 kết quả. Bản mẫu: 1,5 phút.</t>
  </si>
  <si>
    <t>Chi phí nhân sự kiểm tra</t>
  </si>
  <si>
    <t>VND / giờ</t>
  </si>
  <si>
    <t>Bằng (lương tháng + bảo hiểm) ÷ số giờ làm mỗi tháng (khoảng 176–208 giờ). Lương tối thiểu ở trang 9 chỉ là mức sàn. Bản mẫu: 60.000 đồng/giờ.</t>
  </si>
  <si>
    <t>Đánh giá chất lượng, giám sát, gán nhãn lại / việc</t>
  </si>
  <si>
    <t>Chi phí chạy bộ câu hỏi đánh giá, gán nhãn lại mỗi tháng ÷ số việc mỗi tháng. Bản mẫu: 60 đồng.</t>
  </si>
  <si>
    <t>Chi phí khác / việc (tuân thủ, lưu nhật ký…)</t>
  </si>
  <si>
    <t>Lưu nhật ký, bảo mật, tuân thủ. Ghi 0 thì nói vì sao. Bản mẫu: 30 đồng.</t>
  </si>
  <si>
    <t>KẾT QUẢ</t>
  </si>
  <si>
    <t>Chi phí gọi AI / việc (đã tính gọi lại)</t>
  </si>
  <si>
    <t>Chi phí người kiểm tra / việc</t>
  </si>
  <si>
    <t>Hạ tầng + đánh giá + khác / việc</t>
  </si>
  <si>
    <t>TỔNG CHI PHÍ MỖI VIỆC</t>
  </si>
  <si>
    <t>Bản mẫu: khoảng 413 đồng mỗi việc, trong đó gọi AI chỉ khoảng 73 đồng.</t>
  </si>
  <si>
    <t>Phần chìm so với chi phí gọi AI</t>
  </si>
  <si>
    <t>Dưới 30%: rà lại xem đã đủ các khoản chưa (kinh nghiệm giảng viên). Không thêm khoản bịa chỉ để đạt mốc.</t>
  </si>
  <si>
    <t>Giá sàn mỗi việc = 3 × chi phí mỗi việc</t>
  </si>
  <si>
    <t>Dùng cho giá từng việc, kể cả giá vượt hạn mức (biên ≈ 67%): chừa đệm cho khách dùng nhiều và giá AI biến động</t>
  </si>
  <si>
    <t>Giá tối thiểu để biên lợi nhuận gộp đạt 60%</t>
  </si>
  <si>
    <t>Giá bình quân mỗi việc của cả tệp khách nên cao hơn số này (để biên bình quân ≥ 60%, trang 4 và 7). Giá từng việc, kể cả phí vượt, dùng dòng 26.</t>
  </si>
  <si>
    <t>2 · Định giá: cách tính tiền, gói giá và nhóm khách dùng nhiều</t>
  </si>
  <si>
    <t>So sánh gói kết hợp (phí cố định + phí vượt hạn mức) với gói không giới hạn để thấy rủi ro từ nhóm khách dùng nhiều.</t>
  </si>
  <si>
    <t>Mục</t>
  </si>
  <si>
    <t>Khách trả tiền từ ngân sách nào?</t>
  </si>
  <si>
    <t>Phần mềm: người bán tự trả từ ngân sách nhỏ</t>
  </si>
  <si>
    <t>Phần mềm hay Nhân sự?</t>
  </si>
  <si>
    <t>Đề bài 3 – ShopViết, PDF trang 6–7</t>
  </si>
  <si>
    <t>Cách tính tiền đã chọn</t>
  </si>
  <si>
    <t>Kết hợp: phí cố định + phí vượt hạn mức</t>
  </si>
  <si>
    <t>Bảng giá dưới luôn có dạng phí cố định + phí mỗi việc vượt hạn mức. Cách nhập cho từng cách tính tiền: dòng 35–40.</t>
  </si>
  <si>
    <t>Lý do chọn (hai câu hỏi: đo được kết quả? AI tự làm trọn?)</t>
  </si>
  <si>
    <t>Phí tháng dễ dự toán; thu vượt hạn mức để hạn chế lỗ khi sử dụng nhiều. Đề bài 3 đã chọn cách tính này.</t>
  </si>
  <si>
    <t>Neo giá so với cái gì?</t>
  </si>
  <si>
    <t>So với 3.000.000 đồng/tháng chi phí cộng tác viên viết nội dung</t>
  </si>
  <si>
    <t>Lương hoặc chi phí thuê ngoài, không so với giá ChatGPT</t>
  </si>
  <si>
    <t>Phí cố định / khách / tháng</t>
  </si>
  <si>
    <t>Số việc đã gồm trong phí cố định</t>
  </si>
  <si>
    <t>việc / tháng</t>
  </si>
  <si>
    <t>Giá mỗi việc vượt hạn mức</t>
  </si>
  <si>
    <t>VND / việc</t>
  </si>
  <si>
    <t>Giá gói không giới hạn (để so sánh; thường = phí cố định dòng 9)</t>
  </si>
  <si>
    <t>VND / tháng</t>
  </si>
  <si>
    <t>Nhóm khách</t>
  </si>
  <si>
    <t>Tỷ trọng số khách (2 dòng cộng = 100%)</t>
  </si>
  <si>
    <t>Số việc / 1 khách / tháng</t>
  </si>
  <si>
    <t>Doanh thu / khách (gói kết hợp)</t>
  </si>
  <si>
    <t>Chi phí AI / khách (= số việc × chi phí mỗi việc)</t>
  </si>
  <si>
    <t>Biên lợi nhuận gộp (kết hợp)</t>
  </si>
  <si>
    <t>Doanh thu / khách (không giới hạn)</t>
  </si>
  <si>
    <t>Biên lợi nhuận gộp (không giới hạn)</t>
  </si>
  <si>
    <t>Khách thường</t>
  </si>
  <si>
    <t>Đề bài 3 – ShopViết, trang 6</t>
  </si>
  <si>
    <t>Khách dùng nhiều</t>
  </si>
  <si>
    <t>BÌNH QUÂN (theo tỷ trọng)</t>
  </si>
  <si>
    <t>Kiểm tra: tổng tỷ trọng phải = 100%</t>
  </si>
  <si>
    <t>Kiểm tra: giá mỗi việc vượt hạn mức ≥ giá sàn mỗi việc (trang 1, dòng 26)?</t>
  </si>
  <si>
    <t>Tỷ trọng doanh thu đến từ khách dùng nhiều</t>
  </si>
  <si>
    <t>Trong đó: phí vượt hạn mức</t>
  </si>
  <si>
    <t>Cảnh báo phụ thuộc</t>
  </si>
  <si>
    <t>PHÉP THỬ GIÁ: dùng chính quy tắc của Ngày 22 và chỉ số của Ngày 23</t>
  </si>
  <si>
    <t>Lương 1 tháng của người được thay</t>
  </si>
  <si>
    <t>Tỷ lệ chia doanh thu cho đối tác / kênh bán</t>
  </si>
  <si>
    <t>% doanh thu</t>
  </si>
  <si>
    <t>Trả mỗi tháng</t>
  </si>
  <si>
    <t>So với lương người được thay</t>
  </si>
  <si>
    <t>Quy tắc neo 50–70% lương (Ngày 22)</t>
  </si>
  <si>
    <t>Tiền AI ÷ doanh thu (chỉ số Ngày 23)</t>
  </si>
  <si>
    <t>Mức theo Ngày 23</t>
  </si>
  <si>
    <t>Khách dùng nhiều, gói kết hợp</t>
  </si>
  <si>
    <t>Khách dùng nhiều, nếu bán gói không giới hạn</t>
  </si>
  <si>
    <t>Biên lợi nhuận gộp bình quân sau khi chia cho đối tác</t>
  </si>
  <si>
    <t>Ngày 23: trên 50% ổn · 35–50% đáng lo · dưới 35% nguy</t>
  </si>
  <si>
    <t>Để sau: làm xong trang 5 thì quay lại so tỷ lệ chia ở dòng 27 với mức tối đa tự tính ở trang 5, dòng 77. Ngưỡng 50% của Ngày 23 chưa đủ: với bản mẫu, chia quá khoảng 14% là giá trị hiện tại ròng đã âm dù biên sau chia vẫn trên 50%.</t>
  </si>
  <si>
    <t>Khách dùng nhiều vượt 70% lương không phải lỗi bắt buộc sửa: KHÔNG hạ phí vượt xuống dưới giá sàn. Hỏi lại: với khối lượng đó, khách có phải thuê hơn 1 người không? Nếu vẫn vượt, đó là rủi ro khách bỏ đi (trang 5, dòng 68): ghi vào trang 7.</t>
  </si>
  <si>
    <t>CÁCH NHẬP DÒNG 9–12 THEO CÁCH TÍNH TIỀN ĐÃ CHỌN Ở DÒNG 6</t>
  </si>
  <si>
    <t>Theo lượt dùng</t>
  </si>
  <si>
    <t>Dòng 9 = 0 · dòng 10 = 0 · dòng 11 = giá mỗi việc</t>
  </si>
  <si>
    <t>Theo người dùng (tài khoản)</t>
  </si>
  <si>
    <t>Dòng 9 = giá mỗi tài khoản × số tài khoản của 1 khách · dòng 10 = mức dùng hợp lý · dòng 11 = phí vượt (không thu thì để trống, bỏ qua dòng 19, xem rủi ro ở dòng 31)</t>
  </si>
  <si>
    <t>Theo kết quả</t>
  </si>
  <si>
    <t>Dòng 9 = 0 · dòng 10 = 0 · dòng 11 = giá mỗi kết quả × tỷ lệ việc ra kết quả</t>
  </si>
  <si>
    <t>Kết hợp (bản mẫu)</t>
  </si>
  <si>
    <t>Dòng 9 = 499.000 · dòng 10 = 300 việc · dòng 11 = 1.500 đồng mỗi việc</t>
  </si>
  <si>
    <t>Dòng 12</t>
  </si>
  <si>
    <t>Chỉ để so sánh: nhập bằng phí cố định dòng 9; nếu dòng 9 = 0 thì nhập mức trọn gói nhóm từng cân nhắc.</t>
  </si>
  <si>
    <t>3 · Giả định cho 3 kịch bản</t>
  </si>
  <si>
    <t>Lạc quan = trình bày với nhà đầu tư · Cơ sở = lập kế hoạch · Xấu = để sống sót. Điền cột CƠ SỞ trước, có nguồn hoặc lý do. Cột Lạc quan, Xấu có sẵn mặc định theo Cơ sở (xem cột Gợi ý); sửa nếu có lý do.</t>
  </si>
  <si>
    <t>Giả định</t>
  </si>
  <si>
    <t>Lạc quan</t>
  </si>
  <si>
    <t>Cơ sở</t>
  </si>
  <si>
    <t>Xấu</t>
  </si>
  <si>
    <t>Gợi ý · bản mẫu (Lạc quan / Cơ sở / Xấu)</t>
  </si>
  <si>
    <t>Hệ số doanh thu bình quân so với trang 2 (1 = giữ nguyên · 1,1 = cao hơn 10% · 0,8 = thấp hơn 20%)</t>
  </si>
  <si>
    <t>×</t>
  </si>
  <si>
    <t>Cơ sở = 1. Lạc quan, xấu: mặc định 1,1 và 0,8; sửa nếu có lý do</t>
  </si>
  <si>
    <t>Bản mẫu: 1,1 / 1 / 0,8. Xấu: bị ép giảm giá; lạc quan: bán được gói cao hơn.</t>
  </si>
  <si>
    <t>Hệ số chi phí AI / khách so với trang 2 (gõ như dòng 5)</t>
  </si>
  <si>
    <t>Bản mẫu: 0,9 / 1 / 1,2. Giá gọi AI hoặc cách khách dùng thay đổi.</t>
  </si>
  <si>
    <t>Khách mới tháng 1 (số khách ký được trong tháng đầu bán)</t>
  </si>
  <si>
    <t>khách</t>
  </si>
  <si>
    <t>Đề bài 3 – ShopViết, CS9_DeBai_GiaDinh.pdf trang 7; dữ liệu giả định của đề</t>
  </si>
  <si>
    <t>Cơ sở: số khách đội bán hàng ký được thật trong tháng đầu. Mặc định: lạc quan = cơ sở × 1,3; xấu = cơ sở × 0,5. (Bản mẫu tự đặt 40 / 30 / 15.)</t>
  </si>
  <si>
    <t>Tăng trưởng khách mới / tháng (tính kép: 5%/tháng → tháng 24 gấp khoảng 3 lần tháng 1; 20%/tháng → gấp khoảng 66 lần)</t>
  </si>
  <si>
    <t>Mặc định: lạc quan × 1,6, xấu × 0,4. Bản mẫu: 8% / 5% / 2%. Trên 10% mỗi tháng cần lý do rất chắc.</t>
  </si>
  <si>
    <t>Tỷ lệ rời bỏ / tháng</t>
  </si>
  <si>
    <t>Chưa có số đo: lấy từ phỏng vấn hoặc thử nghiệm, ghi "Giả định". Xấu phải ≥ 1,5 × cơ sở. Mặc định: lạc quan × 0,6, xấu × 1,6. Bản mẫu: 3% / 5% / 8%.</t>
  </si>
  <si>
    <t>Chi phí có một khách (CAC) = tiền quảng cáo và bán hàng 1 tháng ÷ số khách mới tháng đó</t>
  </si>
  <si>
    <t>VND / khách</t>
  </si>
  <si>
    <t>Xấu phải ≥ 1,5 × cơ sở. Mặc định: lạc quan × 0,8, xấu × 1,5. (Bản mẫu tự đặt 1,2 / 1,5 / 2,3 triệu đồng.)</t>
  </si>
  <si>
    <t>Chi phí cố định / tháng (lương đội, văn phòng, hạ tầng trả cố định)</t>
  </si>
  <si>
    <t>Gõ đủ số đồng. Gồm lương đội phát triển (đã tách khỏi trang 1) và chi phí kiểm thử lại mỗi khi đổi mô hình hoặc câu lệnh. Bản mẫu: 150 triệu.</t>
  </si>
  <si>
    <t>Chi phí xây dựng ban đầu, gồm chi phí thử sai (chi một lần ở tháng 0)</t>
  </si>
  <si>
    <t>Gõ đủ số đồng. Gồm cả chi phí thử sai trước khi ra mắt: công đội, token chạy thử, chạy bộ câu hỏi kiểm thử sau mỗi lần sửa, tối ưu câu lệnh, làm dữ liệu mẫu, rà soát pháp lý. Bài toán càng khó càng nhiều vòng thử. Bản mẫu: 600 triệu (3 lập trình viên × 4 tháng + hạ tầng).</t>
  </si>
  <si>
    <t>Tiền mặt hoặc ngân sách đã duyệt (trước khi chi xây dựng)</t>
  </si>
  <si>
    <t>Gõ đủ số đồng. Dự án trong công ty: ghi ngân sách đã duyệt. Để trống thì mọi kịch bản hết tiền ngay tháng 1. Bản mẫu: 2 tỷ.</t>
  </si>
  <si>
    <t>Lãi suất chiết khấu / năm</t>
  </si>
  <si>
    <t>Giả định của lớp: chi phí vốn cho dự án rủi ro cao</t>
  </si>
  <si>
    <t>Giữ 15% nếu không có lý do khác.</t>
  </si>
  <si>
    <t>Giá trị tính ra</t>
  </si>
  <si>
    <t>Doanh thu bình quân / khách / tháng</t>
  </si>
  <si>
    <t>Chi phí AI (giá vốn) / khách / tháng</t>
  </si>
  <si>
    <t>Doanh thu bình quân đã trừ phần chia cho đối tác (trang 2, dòng 27).</t>
  </si>
  <si>
    <t>Kiểm tra kịch bản xấu</t>
  </si>
  <si>
    <t>Tỷ lệ rời bỏ (xấu) ≥ 1,5 × cơ sở?</t>
  </si>
  <si>
    <t>Chi phí có một khách (xấu) ≥ 1,5 × cơ sở?</t>
  </si>
  <si>
    <t>4 · Chỉ số trên mỗi khách: có lãi trên từng khách không?</t>
  </si>
  <si>
    <t>Giá trị vòng đời (LTV) tính trên lợi nhuận gộp, KHÔNG tính trên doanh thu.</t>
  </si>
  <si>
    <t>Chỉ số</t>
  </si>
  <si>
    <t>Ngưỡng tham khảo</t>
  </si>
  <si>
    <t>Lợi nhuận gộp / khách / tháng</t>
  </si>
  <si>
    <t>≥ 60%</t>
  </si>
  <si>
    <t>Số tháng khách ở lại = 1 ÷ tỷ lệ rời bỏ</t>
  </si>
  <si>
    <t>Giá trị vòng đời (LTV) = lợi nhuận gộp × số tháng ở lại</t>
  </si>
  <si>
    <t>Chi phí có một khách (CAC)</t>
  </si>
  <si>
    <t>LTV ÷ CAC (lần)</t>
  </si>
  <si>
    <t>&gt; 3 (Ngày 23); mô hình của bạn: trang 5, dòng 74</t>
  </si>
  <si>
    <t>Thời gian hoàn vốn chi phí có khách (tháng)</t>
  </si>
  <si>
    <t>&lt; 12 tháng</t>
  </si>
  <si>
    <t>Đánh giá</t>
  </si>
  <si>
    <t>5 · Dòng tiền 24 tháng và hiệu quả đầu tư (3 kịch bản)</t>
  </si>
  <si>
    <t>Trang này tự tính: chỉ đọc kết quả, trừ ô vàng B54 (mức làm xấu). Kết quả chỉ có nghĩa khi trang 1–3 đã điền đủ. Tháng 0 = chi phí xây dựng. Bảng độ nhạy ở dòng 53, mức cảnh báo tự tính ở dòng 70–77.</t>
  </si>
  <si>
    <t>Kịch bản / dòng</t>
  </si>
  <si>
    <t>Tháng 0</t>
  </si>
  <si>
    <t>T1</t>
  </si>
  <si>
    <t>T2</t>
  </si>
  <si>
    <t>T3</t>
  </si>
  <si>
    <t>T4</t>
  </si>
  <si>
    <t>T5</t>
  </si>
  <si>
    <t>T6</t>
  </si>
  <si>
    <t>T7</t>
  </si>
  <si>
    <t>T8</t>
  </si>
  <si>
    <t>T9</t>
  </si>
  <si>
    <t>T10</t>
  </si>
  <si>
    <t>T11</t>
  </si>
  <si>
    <t>T12</t>
  </si>
  <si>
    <t>T13</t>
  </si>
  <si>
    <t>T14</t>
  </si>
  <si>
    <t>T15</t>
  </si>
  <si>
    <t>T16</t>
  </si>
  <si>
    <t>T17</t>
  </si>
  <si>
    <t>T18</t>
  </si>
  <si>
    <t>T19</t>
  </si>
  <si>
    <t>T20</t>
  </si>
  <si>
    <t>T21</t>
  </si>
  <si>
    <t>T22</t>
  </si>
  <si>
    <t>T23</t>
  </si>
  <si>
    <t>T24</t>
  </si>
  <si>
    <t>LẠC QUAN</t>
  </si>
  <si>
    <t>Khách mới</t>
  </si>
  <si>
    <t>Khách đang dùng</t>
  </si>
  <si>
    <t>Chi phí AI (giá vốn)</t>
  </si>
  <si>
    <t>Chi phí bán hàng (chi phí có khách × khách mới)</t>
  </si>
  <si>
    <t>Chi phí cố định</t>
  </si>
  <si>
    <t>Dòng tiền ròng</t>
  </si>
  <si>
    <t>Tiền mặt cuối kỳ</t>
  </si>
  <si>
    <t>Dòng tiền lũy kế của dự án</t>
  </si>
  <si>
    <t>CƠ SỞ</t>
  </si>
  <si>
    <t>XẤU</t>
  </si>
  <si>
    <t>TÓM TẮT HIỆU QUẢ ĐẦU TƯ</t>
  </si>
  <si>
    <t>Giá trị hiện tại ròng 24 tháng (đồng; lớn hơn 0 là đáng làm)</t>
  </si>
  <si>
    <t>&gt; 0</t>
  </si>
  <si>
    <t>Tỷ suất hoàn vốn nội bộ (IRR, quy ra năm)</t>
  </si>
  <si>
    <t>&gt; chi phí vốn</t>
  </si>
  <si>
    <t>Lãi suất làm giá trị hiện tại ròng bằng 0; so với chi phí vốn 15%. Số rất lớn ở kịch bản lạc quan là do vốn quay về nhanh — chỉ dùng để so sánh, không đọc như lợi nhuận.</t>
  </si>
  <si>
    <t>Tiền mặt thấp nhất</t>
  </si>
  <si>
    <t>Tháng hết tiền</t>
  </si>
  <si>
    <t>Không hết trong 12 tháng đầu</t>
  </si>
  <si>
    <t>Chỉ báo khi tiền mặt âm trong 24 tháng. Kịch bản cơ sở có thể luôn "Không hết tiền" — khi thử độ nhạy, hãy nhìn giá trị hiện tại ròng.</t>
  </si>
  <si>
    <t>Hoàn vốn dự án</t>
  </si>
  <si>
    <t>&lt; 24 tháng</t>
  </si>
  <si>
    <t>Khách đang dùng tháng 24</t>
  </si>
  <si>
    <t>Doanh thu tháng 24</t>
  </si>
  <si>
    <t>BẢNG ĐỘ NHẠY (kịch bản cơ sở): làm xấu từng biến, mỗi lần một biến</t>
  </si>
  <si>
    <t>Mức làm xấu</t>
  </si>
  <si>
    <t>Có thể đổi thành 10% hoặc 30% để thử</t>
  </si>
  <si>
    <t>Biến làm xấu</t>
  </si>
  <si>
    <t>Giá trị cơ sở</t>
  </si>
  <si>
    <t>Giá trị sau khi làm xấu</t>
  </si>
  <si>
    <t>Giá trị hiện tại ròng 24 tháng (triệu đồng)</t>
  </si>
  <si>
    <t>Chênh lệch so với cơ sở (triệu đồng)</t>
  </si>
  <si>
    <t>Tháng hoàn vốn</t>
  </si>
  <si>
    <t>Mức nguy hiểm (1 = nhất)</t>
  </si>
  <si>
    <t>Không đổi (cơ sở)</t>
  </si>
  <si>
    <t>—</t>
  </si>
  <si>
    <t>Doanh thu bình quân giảm</t>
  </si>
  <si>
    <t>Chi phí AI tăng</t>
  </si>
  <si>
    <t>Tỷ lệ rời bỏ tăng</t>
  </si>
  <si>
    <t>Chi phí có một khách tăng</t>
  </si>
  <si>
    <t>Khách mới tháng đầu giảm</t>
  </si>
  <si>
    <t>Tăng trưởng khách mới giảm</t>
  </si>
  <si>
    <t>Chi phí cố định tăng</t>
  </si>
  <si>
    <t>Biến nguy hiểm nhất</t>
  </si>
  <si>
    <t>Tình huống: khách dùng nhiều bỏ đi, thay bằng khách thường</t>
  </si>
  <si>
    <t>Cách đọc: biến làm giá trị hiện tại ròng giảm nhiều nhất là biến nguy hiểm nhất — đưa nó vào câu 3 của ghi chú quyết định (trang 7). Ở kịch bản cơ sở, cột "Tháng hết tiền" có thể không đổi; hãy nhìn giá trị hiện tại ròng. Dòng tình huống đặc biệt cho thấy mô hình phụ thuộc nhóm khách dùng nhiều đến mức nào.</t>
  </si>
  <si>
    <t>MỨC CẢNH BÁO TỰ TÍNH (kịch bản cơ sở): chép vào cột [TỰ TÍNH] của bảng theo dõi Ngày 23. Nếu giá trị hiện tại ròng cơ sở (D57) đang âm, cột C là mức PHẢI ĐẠT để hoà vốn, chưa phải mức cảnh báo.</t>
  </si>
  <si>
    <t>Cơ sở hiện tại</t>
  </si>
  <si>
    <t>Mức hoà vốn (giá trị hiện tại ròng 24 tháng = 0)</t>
  </si>
  <si>
    <t>Còn cách (so với hiện tại)</t>
  </si>
  <si>
    <t>Cách dùng trong bảng theo dõi Ngày 23</t>
  </si>
  <si>
    <t>Doanh thu bình quân / khách / tháng (VND)</t>
  </si>
  <si>
    <t>Dưới mức này là "nguy"</t>
  </si>
  <si>
    <t>Dưới mức này là "nguy". Ngày 22 nói 60%: đây là con số của chính mô hình</t>
  </si>
  <si>
    <t>Chi phí có một khách tối đa (VND)</t>
  </si>
  <si>
    <t>Khách mới tháng đầu tối thiểu</t>
  </si>
  <si>
    <t>Chỉ số báo sớm: số cửa hàng ký mới mỗi tháng</t>
  </si>
  <si>
    <t>Chi phí cố định tối đa / tháng (VND)</t>
  </si>
  <si>
    <t>Trần chi cho đội và văn phòng</t>
  </si>
  <si>
    <t>Tỷ lệ chia doanh thu cho đối tác tối đa</t>
  </si>
  <si>
    <t>Trần khi đàm phán với đối tác. Ngày 23 chỉ đòi biên sau chia trên 50%</t>
  </si>
  <si>
    <t>BẢNG TÍNH PHỤ CHO ĐỘ NHẠY — đã ẩn, không cần đọc</t>
  </si>
  <si>
    <t>Kịch bản</t>
  </si>
  <si>
    <t>Doanh thu bình quân</t>
  </si>
  <si>
    <t>Chi phí AI / khách</t>
  </si>
  <si>
    <t>Khách mới tháng 1</t>
  </si>
  <si>
    <t>Tăng trưởng</t>
  </si>
  <si>
    <t>Tỷ lệ rời bỏ</t>
  </si>
  <si>
    <t>Chi phí có khách</t>
  </si>
  <si>
    <t>Chi phí xây dựng</t>
  </si>
  <si>
    <t>Tiền mặt</t>
  </si>
  <si>
    <t>Lãi suất</t>
  </si>
  <si>
    <t>KB0 · Không đổi (cơ sở)</t>
  </si>
  <si>
    <t>KB1 · Doanh thu bình quân giảm</t>
  </si>
  <si>
    <t>KB2 · Chi phí AI tăng</t>
  </si>
  <si>
    <t>KB3 · Tỷ lệ rời bỏ tăng</t>
  </si>
  <si>
    <t>KB4 · Chi phí có một khách tăng</t>
  </si>
  <si>
    <t>KB5 · Khách mới tháng đầu giảm</t>
  </si>
  <si>
    <t>KB6 · Tăng trưởng khách mới giảm</t>
  </si>
  <si>
    <t>KB7 · Chi phí cố định tăng</t>
  </si>
  <si>
    <t>KB8 · Tình huống: khách dùng nhiều bỏ đi, thay bằng khách thường</t>
  </si>
  <si>
    <t>KB0 · Khách mới</t>
  </si>
  <si>
    <t>KB0 · Khách đang dùng</t>
  </si>
  <si>
    <t>KB0 · Dòng tiền ròng</t>
  </si>
  <si>
    <t>KB0 · Tiền mặt cuối kỳ</t>
  </si>
  <si>
    <t>KB0 · Dòng tiền lũy kế</t>
  </si>
  <si>
    <t>KB1 · Khách mới</t>
  </si>
  <si>
    <t>KB1 · Khách đang dùng</t>
  </si>
  <si>
    <t>KB1 · Dòng tiền ròng</t>
  </si>
  <si>
    <t>KB1 · Tiền mặt cuối kỳ</t>
  </si>
  <si>
    <t>KB1 · Dòng tiền lũy kế</t>
  </si>
  <si>
    <t>KB2 · Khách mới</t>
  </si>
  <si>
    <t>KB2 · Khách đang dùng</t>
  </si>
  <si>
    <t>KB2 · Dòng tiền ròng</t>
  </si>
  <si>
    <t>KB2 · Tiền mặt cuối kỳ</t>
  </si>
  <si>
    <t>KB2 · Dòng tiền lũy kế</t>
  </si>
  <si>
    <t>KB3 · Khách mới</t>
  </si>
  <si>
    <t>KB3 · Khách đang dùng</t>
  </si>
  <si>
    <t>KB3 · Dòng tiền ròng</t>
  </si>
  <si>
    <t>KB3 · Tiền mặt cuối kỳ</t>
  </si>
  <si>
    <t>KB3 · Dòng tiền lũy kế</t>
  </si>
  <si>
    <t>KB4 · Khách mới</t>
  </si>
  <si>
    <t>KB4 · Khách đang dùng</t>
  </si>
  <si>
    <t>KB4 · Dòng tiền ròng</t>
  </si>
  <si>
    <t>KB4 · Tiền mặt cuối kỳ</t>
  </si>
  <si>
    <t>KB4 · Dòng tiền lũy kế</t>
  </si>
  <si>
    <t>KB5 · Khách mới</t>
  </si>
  <si>
    <t>KB5 · Khách đang dùng</t>
  </si>
  <si>
    <t>KB5 · Dòng tiền ròng</t>
  </si>
  <si>
    <t>KB5 · Tiền mặt cuối kỳ</t>
  </si>
  <si>
    <t>KB5 · Dòng tiền lũy kế</t>
  </si>
  <si>
    <t>KB6 · Khách mới</t>
  </si>
  <si>
    <t>KB6 · Khách đang dùng</t>
  </si>
  <si>
    <t>KB6 · Dòng tiền ròng</t>
  </si>
  <si>
    <t>KB6 · Tiền mặt cuối kỳ</t>
  </si>
  <si>
    <t>KB6 · Dòng tiền lũy kế</t>
  </si>
  <si>
    <t>KB7 · Khách mới</t>
  </si>
  <si>
    <t>KB7 · Khách đang dùng</t>
  </si>
  <si>
    <t>KB7 · Dòng tiền ròng</t>
  </si>
  <si>
    <t>KB7 · Tiền mặt cuối kỳ</t>
  </si>
  <si>
    <t>KB7 · Dòng tiền lũy kế</t>
  </si>
  <si>
    <t>KB8 · Khách mới</t>
  </si>
  <si>
    <t>KB8 · Khách đang dùng</t>
  </si>
  <si>
    <t>KB8 · Dòng tiền ròng</t>
  </si>
  <si>
    <t>KB8 · Tiền mặt cuối kỳ</t>
  </si>
  <si>
    <t>KB8 · Dòng tiền lũy kế</t>
  </si>
  <si>
    <t>6 · Hiệu quả dự án AI dùng trong nội bộ (khi sản phẩm phục vụ chính công ty)</t>
  </si>
  <si>
    <t>Hiệu quả = (giá trị tạo ra − chi phí vận hành) so với chi phí đầu tư một lần. Không dùng thay cho trang 3–5 nếu sản phẩm bán ra thị trường.</t>
  </si>
  <si>
    <t>Lưu ý: giờ tiết kiệm chỉ thành tiền khi được dùng vào việc khác hoặc giúp giảm tuyển mới. Nếu không, chỉ ghi phần đo được ở dòng 9 và nói rõ lý do.</t>
  </si>
  <si>
    <t>Số nhân sự dùng công cụ</t>
  </si>
  <si>
    <t>người</t>
  </si>
  <si>
    <t>Số người sẽ dùng công cụ. Bản mẫu: 30 (1 phòng ban).</t>
  </si>
  <si>
    <t>Giờ tiết kiệm / người / tuần (chỉ tính giờ được dùng vào việc khác hoặc giúp giảm tuyển)</t>
  </si>
  <si>
    <t>giờ</t>
  </si>
  <si>
    <t>Chỉ tính giờ được dùng vào việc khác hoặc giúp giảm tuyển. Đo bằng thử nghiệm. Bản mẫu: 5 / 3 / 1,5.</t>
  </si>
  <si>
    <t>Tỷ lệ người dùng thật</t>
  </si>
  <si>
    <t>Người dùng đều đặn ÷ tổng số người. Bản mẫu: 80% / 60% / 35%.</t>
  </si>
  <si>
    <t>Chi phí 1 giờ công (gồm phúc lợi)</t>
  </si>
  <si>
    <t>Lương + bảo hiểm + phúc lợi ÷ số giờ làm. Bản mẫu: 120.000.</t>
  </si>
  <si>
    <t>Giá trị khác / tháng (doanh thu tăng, giảm lỗi…)</t>
  </si>
  <si>
    <t>Chỉ đưa vào nếu đo được. Bản mẫu: 10 / 5 / 0 triệu.</t>
  </si>
  <si>
    <t>Chi phí xây dựng một lần</t>
  </si>
  <si>
    <t>VND (một lần)</t>
  </si>
  <si>
    <t>Bản mẫu: 400 / 400 / 500 triệu.</t>
  </si>
  <si>
    <t>Chi phí thay đổi quy trình &amp; đào tạo (một lần)</t>
  </si>
  <si>
    <t>Khoản hay bị quên. Bản mẫu: 50 / 60 / 80 triệu.</t>
  </si>
  <si>
    <t>Chi phí vận hành / tháng (API, hạ tầng, bảo trì)</t>
  </si>
  <si>
    <t>Gọi AI + hạ tầng + bảo trì. Bản mẫu: 15 / 18 / 25 triệu.</t>
  </si>
  <si>
    <t>Giả định của lớp: chi phí vốn</t>
  </si>
  <si>
    <t>Kết quả</t>
  </si>
  <si>
    <t>Giá trị tạo ra / tháng</t>
  </si>
  <si>
    <t>Lợi ích ròng / tháng</t>
  </si>
  <si>
    <t>Đầu tư một lần</t>
  </si>
  <si>
    <t>Thời gian hoàn vốn</t>
  </si>
  <si>
    <t>Hiệu quả đầu tư sau 12 tháng (ROI)</t>
  </si>
  <si>
    <t>Giá trị hiện tại ròng 24 tháng</t>
  </si>
  <si>
    <t>Đánh giá nhanh</t>
  </si>
  <si>
    <t>Hoàn vốn dưới 12 tháng: Làm · hoàn vốn được nhưng chậm: thử ở 1 phòng ban để đo tỷ lệ người dùng thật · không hoàn vốn: Dừng</t>
  </si>
  <si>
    <t>7 · Tự kiểm tra và ghi chú quyết định</t>
  </si>
  <si>
    <t>Các dòng tự kiểm tra tự tính. "Xem lại" hay "Cần kế hoạch cắt giảm" là câu hỏi để soát, không bắt buộc thành "Đạt": sửa nếu nhập sai; nếu số đúng thì giữ nguyên và giải thích trong ghi chú. Không chỉnh giả định chỉ để đẹp số.</t>
  </si>
  <si>
    <t>Điểm kiểm tra</t>
  </si>
  <si>
    <t>Kết quả (cơ sở)</t>
  </si>
  <si>
    <t>Đạt?</t>
  </si>
  <si>
    <t>Phần chìm ≥ 30% chi phí gọi AI</t>
  </si>
  <si>
    <t>Biên lợi nhuận gộp bình quân ≥ 60% (gói kết hợp)</t>
  </si>
  <si>
    <t>LTV ÷ CAC &gt; 3 (cơ sở)</t>
  </si>
  <si>
    <t>Hoàn vốn chi phí có khách &lt; 12 tháng (cơ sở)</t>
  </si>
  <si>
    <t>Kịch bản xấu: rời bỏ và chi phí có khách đủ sốc (≥ 1,5 lần)</t>
  </si>
  <si>
    <t>Kịch bản xấu: tháng hết tiền</t>
  </si>
  <si>
    <t>Giá trị hiện tại ròng 24 tháng (cơ sở)</t>
  </si>
  <si>
    <t>Biến nguy hiểm nhất (bảng độ nhạy, trang 5)</t>
  </si>
  <si>
    <t>GHI CHÚ QUYẾT ĐỊNH: 5 câu, mỗi câu 1–3 câu văn, cả phần khoảng 200 chữ. Nhóm viết vào ô vàng dưới mỗi câu hỏi.</t>
  </si>
  <si>
    <t>1. Quyết định: Làm (cả kịch bản cơ sở và xấu đều chịu được) / Thử nghiệm nhỏ (cơ sở tốt, xấu rủi ro: ghi quy mô, thời hạn) / Dừng (lỗ trên từng khách hoặc không hoàn vốn)? Vì sao? Nếu kịch bản xấu hết tiền trước tháng 12: ghi luôn kế hoạch cắt giảm.</t>
  </si>
  <si>
    <t>DỪNG phương án ShopViết hiện tại; chỉ nghiên cứu lại mô hình thu hút/giữ chân khách nếu được duyệt. NPV cơ sở 24 tháng âm khoảng 688,95 triệu đồng; LTV/CAC chỉ 1,19 (&lt;3), dự án chưa hoàn vốn sau 24 tháng. Kịch bản xấu NPV âm khoảng 660,15 triệu đồng theo công thức file, không chứng minh khả thi.</t>
  </si>
  <si>
    <t>2. Giá bán và cách tính tiền đã chọn — vì sao khách chấp nhận mức đó?</t>
  </si>
  <si>
    <t>Giữ giá từ Đề bài 3: 99.000 đồng/tháng gồm 300 việc; vượt mức thu 300 đồng/việc. Khách thường 120 việc trả 99.000 đồng; khách dùng nhiều 1.200 việc trả 369.000 đồng. Đây là giả định của đề, chưa có khảo sát xác nhận mức sẵn sàng trả.</t>
  </si>
  <si>
    <t>3. Biến số nguy hiểm nhất (theo bảng độ nhạy ở trang 5) và cách theo dõi.</t>
  </si>
  <si>
    <t>Theo bảng độ nhạy của file, CAC tăng 20% làm NPV giảm mạnh nhất, từ −688,95 xuống −730,43 triệu đồng. Người phụ trách tăng trưởng theo dõi CAC theo kênh mỗi tuần, cùng churn theo cohort và tỷ lệ chuyển đổi trả phí. CAC 700.000 đồng quá cao so với LTV khoảng 832.002 đồng.</t>
  </si>
  <si>
    <t>4. Luật xử lý theo khuôn Ngày 23: NẾU [chỉ số vượt mức nào] TRONG [bao lâu, trên bao nhiêu khách] THÌ [việc cụ thể, bắt đầu bằng động từ] KHÔNG THÌ [việc cấm làm, để chặn phản xạ sai; không phải nhánh "ngược lại"]. Ví dụ: NẾU doanh thu bình quân dưới mức ở trang 5, dòng 72, TRONG 2 tháng liên tiếp trên ít nhất 20 khách, THÌ dừng mở rộng, thiết kế lại gói giá. KHÔNG THÌ không giảm giá gói cơ bản để kéo khách.</t>
  </si>
  <si>
    <t>NẾU CAC trung bình vượt 700.000 đồng/khách trong 2 tuần liên tiếp trên tối thiểu 30 khách mới, THÌ trưởng tăng trưởng tạm dừng quảng cáo trả phí và thử kênh phân phối chi phí thấp; KHÔNG THÌ không được tự tăng ngân sách để mua thêm khách khi LTV/CAC dưới 3.</t>
  </si>
  <si>
    <t>5. Mức cảnh báo tự tính (trang 5, dòng 72–77) đã điền vào bảng theo dõi Ngày 23 thế nào? Chưa có bảng Ngày 23: chép các mức đó, ghi mức nào là "nguy", mức nào "đáng lo", và ai theo dõi hằng tuần.</t>
  </si>
  <si>
    <t>Đưa vào dashboard Day 23: doanh thu bình quân 139.500 đồng/khách/tháng; biên gộp 89,46%; CAC 700.000 đồng; 300 khách mới tháng 1; chi phí cố định 120 triệu/tháng. Mức hòa vốn do sheet 5 tự tính có giá trị phi thực tế (biên &gt;100%, CAC tối đa âm), vì vậy đánh dấu KHÔNG KHẢ THI, không dùng làm ngưỡng vận hành. Chủ sản phẩm kiểm tra hằng tuần.</t>
  </si>
  <si>
    <t>8 · Thang điểm (100 điểm)</t>
  </si>
  <si>
    <t>Trừ điểm: số bịa không có nguồn, chỉ 1 kịch bản, nhầm doanh thu với lợi nhuận.</t>
  </si>
  <si>
    <t>Tiêu chí</t>
  </si>
  <si>
    <t>Điểm</t>
  </si>
  <si>
    <t>Bài đạt khi</t>
  </si>
  <si>
    <t>Điểm (giảng viên chấm, nhóm không điền)</t>
  </si>
  <si>
    <t>Bài tập tài chính căn bản</t>
  </si>
  <si>
    <t>Ba báo cáo đúng và khớp: bảng cân đối cân, tiền cuối kỳ khớp, trả lời đúng câu 1–3</t>
  </si>
  <si>
    <t>Chi phí mỗi việc đầy đủ</t>
  </si>
  <si>
    <t>≥ 4 nhóm chi phí; chỉ gồm chi phí phục vụ (không lẫn R&amp;D, bán hàng); có tên mô hình và ngày tra giá</t>
  </si>
  <si>
    <t>Giá sống được trong mô hình</t>
  </si>
  <si>
    <t>Giá lấy từ bài Ngày 22 và qua ba phép thử: neo lương 50–70%, tiền AI của khách dùng nhiều, biên sau chia đối tác</t>
  </si>
  <si>
    <t>Chỉ số trên mỗi khách</t>
  </si>
  <si>
    <t>Công thức đúng; LTV tính trên lợi nhuận gộp; tỷ lệ rời bỏ và chi phí có khách có nguồn hoặc lý do rõ</t>
  </si>
  <si>
    <t>3 kịch bản và độ nhạy</t>
  </si>
  <si>
    <t>Kịch bản xấu là cú sốc thật; đọc bảng độ nhạy và chỉ ra biến số nguy hiểm nhất</t>
  </si>
  <si>
    <t>Ghi chú quyết định và mức cảnh báo</t>
  </si>
  <si>
    <t>Quyết định rõ, bảo vệ bằng số; luật xử lý theo khuôn Ngày 23; mức cảnh báo tự tính đưa vào bảng Ngày 23</t>
  </si>
  <si>
    <t>TỔNG</t>
  </si>
  <si>
    <t>Điểm thưởng: dùng số thật từ buổi trước (trang 0)</t>
  </si>
  <si>
    <t>tối đa 10</t>
  </si>
  <si>
    <t>2 điểm/đầu vào đã có và thật sự được dùng; tổng điểm không quá 100</t>
  </si>
  <si>
    <t>THANG ĐIỂM TRÌNH BÀY (1–5 điểm mỗi tiêu chí)</t>
  </si>
  <si>
    <t>Mức 1</t>
  </si>
  <si>
    <t>Mức 3</t>
  </si>
  <si>
    <t>Mức 5</t>
  </si>
  <si>
    <t>Rõ ràng</t>
  </si>
  <si>
    <t>Câu đầu chưa có quyết định; người nghe phải đoán nhóm đề xuất gì</t>
  </si>
  <si>
    <t>Có quyết định nhưng nói sau phần mở đầu, hoặc thiếu giá bán</t>
  </si>
  <si>
    <t>Câu đầu tiên có quyết định, giá bán và 1 lý do</t>
  </si>
  <si>
    <t>Bằng chứng</t>
  </si>
  <si>
    <t>Con số không có nguồn, hoặc chỉ có kịch bản cơ sở</t>
  </si>
  <si>
    <t>Có số chính và nguồn, nhưng thiếu kịch bản xấu hoặc biến nguy hiểm nhất</t>
  </si>
  <si>
    <t>Đủ chi phí mỗi việc, biên lợi nhuận, LTV ÷ CAC, kịch bản xấu; số nào cũng có nguồn hoặc lý do</t>
  </si>
  <si>
    <t>Trả lời phản biện</t>
  </si>
  <si>
    <t>Né câu hỏi hoặc trả lời chung chung</t>
  </si>
  <si>
    <t>Trả lời đúng ý nhưng không dẫn số</t>
  </si>
  <si>
    <t>Trả lời thẳng, dẫn đúng con số trong file</t>
  </si>
  <si>
    <t>Đúng giờ</t>
  </si>
  <si>
    <t>Quá 4 phút</t>
  </si>
  <si>
    <t>Từ 3 đến 4 phút</t>
  </si>
  <si>
    <t>Không quá 3 phút</t>
  </si>
  <si>
    <t>Mức 2 và 4 dùng khi bài nằm giữa hai mô tả. Điểm buổi = 60% sản phẩm + 40% trình bày (60% giảng viên + 40% các nhóm khác chấm, không tự chấm nhóm mình).</t>
  </si>
  <si>
    <t>9 · Số tham khảo đã kiểm chứng (tra ngày 04/10/2026)</t>
  </si>
  <si>
    <t>Giá thay đổi thường xuyên: trước khi dùng, mở lại đường dẫn và ghi ngày tra của nhóm. Số nào không có trong bảng, nhóm tự tìm nguồn hoặc ghi lý do.</t>
  </si>
  <si>
    <t>Mô hình AI</t>
  </si>
  <si>
    <t>Đầu vào (USD / 1 triệu token)</t>
  </si>
  <si>
    <t>Đầu ra (USD / 1 triệu token)</t>
  </si>
  <si>
    <t>Nguồn chính thức</t>
  </si>
  <si>
    <t>OpenAI GPT-6 Luna</t>
  </si>
  <si>
    <t>https://developers.openai.com/api/docs/pricing</t>
  </si>
  <si>
    <t>Mức Standard, ngữ cảnh ngắn</t>
  </si>
  <si>
    <t>OpenAI GPT-6 Sol</t>
  </si>
  <si>
    <t>https://openai.com/index/introducing-gpt-6-sol-and-luna/</t>
  </si>
  <si>
    <t>Mức Standard</t>
  </si>
  <si>
    <t>Anthropic Claude Haiku 4.5</t>
  </si>
  <si>
    <t>https://platform.claude.com/docs/en/models/haiku-4-5/overview</t>
  </si>
  <si>
    <t>Anthropic Claude Sonnet 5.5</t>
  </si>
  <si>
    <t>Bảng so sánh trên cùng trang</t>
  </si>
  <si>
    <t>Số liệu Việt Nam</t>
  </si>
  <si>
    <t>Nguồn</t>
  </si>
  <si>
    <t>Tỷ giá USD bán ra Vietcombank</t>
  </si>
  <si>
    <t>https://thanhnien.vn/gia-usd-hom-nay-4102026-bien-dong-nhe-trong-tuan-khi-euro-bang-anh-tiep-tuc-giam-185261003210750485.htm</t>
  </si>
  <si>
    <t>Báo chí đưa tin sáng 04/10/2026; đối chiếu trang Vietcombank khi dùng</t>
  </si>
  <si>
    <t>Tỷ giá trung tâm Ngân hàng Nhà nước</t>
  </si>
  <si>
    <t>https://qdnd.vn/kinh-te/tin-tuc/ty-gia-usd-hom-nay-4-10-dong-usd-tang-tuan-thu-ba-lien-tiep-1059250</t>
  </si>
  <si>
    <t>Báo QĐND đưa tin ngày 04/10/2026</t>
  </si>
  <si>
    <t>Lương tối thiểu tháng, vùng I (Hà Nội, TP.HCM)</t>
  </si>
  <si>
    <t>https://xaydungchinhsach.chinhphu.vn/tu-1-1-2026-muc-luong-toi-thieu-duoc-tang-bao-nhieu-119251111091442629.htm</t>
  </si>
  <si>
    <t>Nghị định 293/2025/NĐ-CP, hiệu lực 01/01/2026</t>
  </si>
  <si>
    <t>Lương tối thiểu giờ, vùng I</t>
  </si>
  <si>
    <t>Nghị định 293/2025/NĐ-CP; là mức sàn, chưa gồm bảo hiểm</t>
  </si>
  <si>
    <t>Số KHÔNG có trong bảng</t>
  </si>
  <si>
    <t>Cách xử lý</t>
  </si>
  <si>
    <t>Tỷ lệ rời bỏ, chi phí có một khách của SME Việt Nam</t>
  </si>
  <si>
    <t>Lớp chưa kiểm chứng được nguồn công khai đáng tin. Dùng số từ phỏng vấn hoặc thử nghiệm; nếu không có, ghi dải giả định và lý do. Không ghi "theo số chuẩn ngành" khi không chỉ ra được nguồn. Nếu có dải: số giữa vào cột Cơ sở, hai đầu dải vào Lạc quan và Xấu.</t>
  </si>
  <si>
    <t>LTV ÷ CAC &gt; 3, hoàn vốn chi phí có khách &lt; 12 tháng</t>
  </si>
  <si>
    <t>Ngưỡng tham khảo phổ biến trong ngành phần mềm thuê bao; lớp chưa kiểm chứng nguồn sơ cấp. Dùng để đọc kết quả, không phải luật.</t>
  </si>
  <si>
    <t>Giá sàn gấp 3 lần chi phí mỗi việc; phần chìm ≥ 30% chi phí gọi AI</t>
  </si>
  <si>
    <t>Kinh nghiệm của giảng viên, không phải chuẩn ngành.</t>
  </si>
  <si>
    <t>Ngưỡng nghe ở Ngày 22–23</t>
  </si>
  <si>
    <t>Cách dùng hôm nay</t>
  </si>
  <si>
    <t>Biên lợi nhuận gộp ≥ 60%, dưới 50% là nguy (Ngày 22, slide 8)</t>
  </si>
  <si>
    <t>Diễn giả nêu, không kèm nguồn. Ngày 23 (slide 34) dẫn số thực đo của công ty AI chỉ 45–53% — chưa kiểm chứng. Dùng mức tối thiểu tự tính ở trang 5.</t>
  </si>
  <si>
    <t>Neo giá ở 50–70% lương người được thay (Ngày 22, slide 9)</t>
  </si>
  <si>
    <t>Kinh nghiệm diễn giả. Dùng làm phép thử ở trang 2, không phải luật.</t>
  </si>
  <si>
    <t>Ranh giới bán tự phục vụ dưới 50 USD, bán trực tiếp trên 1.000 USD mỗi tháng (Ngày 22, slide 17–18)</t>
  </si>
  <si>
    <t>Ngưỡng của thị trường Mỹ. Ranh giới của nhóm là chi phí có một khách tối đa tự tính ở trang 5.</t>
  </si>
  <si>
    <t>GitHub Copilot thu 10 USD, chi 80 USD, lỗ 70 USD mỗi người (Ngày 22, slide 3)</t>
  </si>
  <si>
    <t>WSJ 10/2023 đưa tin lỗ trung bình khoảng 20 USD/người/tháng; 80 USD là mức của một số người dùng nặng. Theo bản tóm tắt của AI Business, chưa đọc bài gốc WSJ.</t>
  </si>
  <si>
    <t>Nhãn nguồn [NGÀNH] · [TỰ TÍNH] · [TỰ ĐO] (Ngày 23, slide 11)</t>
  </si>
  <si>
    <t>Dùng ba nhãn này trong cột "Nguồn / lý do". Số chưa có nguồn, chưa đo: ghi "Giả định: … vì …", không gắn [NGÀNH].</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</si>
</sst>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0.0%"/>
    <numFmt numFmtId="177" formatCode="0.00\x"/>
    <numFmt numFmtId="178" formatCode="0.0&quot; tháng&quot;"/>
    <numFmt numFmtId="179" formatCode="&quot;Tháng &quot;0"/>
    <numFmt numFmtId="180" formatCode="#,##0;[Red]\-#,##0"/>
    <numFmt numFmtId="181" formatCode="#,##0.0"/>
    <numFmt numFmtId="182" formatCode="#,##0.0;[Red]\-#,##0.0"/>
    <numFmt numFmtId="183" formatCode="#,##0.##"/>
  </numFmts>
  <fonts count="32">
    <font>
      <sz val="11"/>
      <color theme="1"/>
      <name val="Calibri"/>
      <charset val="134"/>
    </font>
    <font>
      <b/>
      <sz val="12"/>
      <name val="Cambria"/>
      <charset val="134"/>
    </font>
    <font>
      <i/>
      <sz val="10"/>
      <color rgb="FF595959"/>
      <name val="Calibri"/>
      <charset val="134"/>
    </font>
    <font>
      <b/>
      <sz val="11"/>
      <color rgb="FFFFFFFF"/>
      <name val="Cambria"/>
      <charset val="134"/>
    </font>
    <font>
      <sz val="11"/>
      <name val="Calibri"/>
      <charset val="134"/>
    </font>
    <font>
      <b/>
      <sz val="14"/>
      <name val="Cambria"/>
      <charset val="134"/>
    </font>
    <font>
      <i/>
      <sz val="11"/>
      <color rgb="FF595959"/>
      <name val="Cambria"/>
      <charset val="134"/>
    </font>
    <font>
      <b/>
      <sz val="11"/>
      <name val="Cambria"/>
      <charset val="134"/>
    </font>
    <font>
      <b/>
      <sz val="11"/>
      <color rgb="FFC00000"/>
      <name val="Calibri"/>
      <charset val="134"/>
    </font>
    <font>
      <b/>
      <sz val="11"/>
      <color rgb="FFC00000"/>
      <name val="Cambria"/>
      <charset val="134"/>
    </font>
    <font>
      <b/>
      <sz val="11"/>
      <name val="Calibri"/>
      <charset val="134"/>
    </font>
    <font>
      <sz val="10"/>
      <color rgb="FF808080"/>
      <name val="Calibri"/>
      <charset val="134"/>
    </font>
    <font>
      <i/>
      <sz val="11"/>
      <color rgb="FF595959"/>
      <name val="Calibri"/>
      <charset val="134"/>
    </font>
    <font>
      <sz val="10"/>
      <name val="Arial"/>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37">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E2EFDA"/>
        <bgColor indexed="64"/>
      </patternFill>
    </fill>
    <fill>
      <patternFill patternType="solid">
        <fgColor rgb="FFD9E1F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3" fillId="0" borderId="0" applyBorder="0" applyAlignment="0" applyProtection="0"/>
    <xf numFmtId="44" fontId="13" fillId="0" borderId="0" applyBorder="0" applyAlignment="0" applyProtection="0"/>
    <xf numFmtId="9" fontId="13" fillId="0" borderId="0" applyBorder="0" applyAlignment="0" applyProtection="0"/>
    <xf numFmtId="41" fontId="13" fillId="0" borderId="0" applyBorder="0" applyAlignment="0" applyProtection="0"/>
    <xf numFmtId="42" fontId="13" fillId="0" borderId="0" applyBorder="0" applyAlignment="0" applyProtection="0"/>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0" fillId="6" borderId="2"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3" applyNumberFormat="0" applyFill="0" applyAlignment="0" applyProtection="0">
      <alignment vertical="center"/>
    </xf>
    <xf numFmtId="0" fontId="20" fillId="0" borderId="3" applyNumberFormat="0" applyFill="0" applyAlignment="0" applyProtection="0">
      <alignment vertical="center"/>
    </xf>
    <xf numFmtId="0" fontId="21" fillId="0" borderId="4" applyNumberFormat="0" applyFill="0" applyAlignment="0" applyProtection="0">
      <alignment vertical="center"/>
    </xf>
    <xf numFmtId="0" fontId="21" fillId="0" borderId="0" applyNumberFormat="0" applyFill="0" applyBorder="0" applyAlignment="0" applyProtection="0">
      <alignment vertical="center"/>
    </xf>
    <xf numFmtId="0" fontId="22" fillId="7" borderId="5" applyNumberFormat="0" applyAlignment="0" applyProtection="0">
      <alignment vertical="center"/>
    </xf>
    <xf numFmtId="0" fontId="23" fillId="8" borderId="6" applyNumberFormat="0" applyAlignment="0" applyProtection="0">
      <alignment vertical="center"/>
    </xf>
    <xf numFmtId="0" fontId="24" fillId="8" borderId="5" applyNumberFormat="0" applyAlignment="0" applyProtection="0">
      <alignment vertical="center"/>
    </xf>
    <xf numFmtId="0" fontId="25" fillId="9" borderId="7" applyNumberFormat="0" applyAlignment="0" applyProtection="0">
      <alignment vertical="center"/>
    </xf>
    <xf numFmtId="0" fontId="26" fillId="0" borderId="8" applyNumberFormat="0" applyFill="0" applyAlignment="0" applyProtection="0">
      <alignment vertical="center"/>
    </xf>
    <xf numFmtId="0" fontId="27" fillId="0" borderId="9" applyNumberFormat="0" applyFill="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0" fillId="14" borderId="0" applyNumberFormat="0" applyBorder="0" applyAlignment="0" applyProtection="0">
      <alignment vertical="center"/>
    </xf>
    <xf numFmtId="0" fontId="0" fillId="15" borderId="0" applyNumberFormat="0" applyBorder="0" applyAlignment="0" applyProtection="0">
      <alignment vertical="center"/>
    </xf>
    <xf numFmtId="0" fontId="31" fillId="16" borderId="0" applyNumberFormat="0" applyBorder="0" applyAlignment="0" applyProtection="0">
      <alignment vertical="center"/>
    </xf>
    <xf numFmtId="0" fontId="31" fillId="17" borderId="0" applyNumberFormat="0" applyBorder="0" applyAlignment="0" applyProtection="0">
      <alignment vertical="center"/>
    </xf>
    <xf numFmtId="0" fontId="0" fillId="18" borderId="0" applyNumberFormat="0" applyBorder="0" applyAlignment="0" applyProtection="0">
      <alignment vertical="center"/>
    </xf>
    <xf numFmtId="0" fontId="0"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0" fillId="22" borderId="0" applyNumberFormat="0" applyBorder="0" applyAlignment="0" applyProtection="0">
      <alignment vertical="center"/>
    </xf>
    <xf numFmtId="0" fontId="0"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0" fillId="26" borderId="0" applyNumberFormat="0" applyBorder="0" applyAlignment="0" applyProtection="0">
      <alignment vertical="center"/>
    </xf>
    <xf numFmtId="0" fontId="0"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31" fillId="36" borderId="0" applyNumberFormat="0" applyBorder="0" applyAlignment="0" applyProtection="0">
      <alignment vertical="center"/>
    </xf>
  </cellStyleXfs>
  <cellXfs count="111">
    <xf numFmtId="0" fontId="0" fillId="0" borderId="0" xfId="0"/>
    <xf numFmtId="0" fontId="0" fillId="0" borderId="0" xfId="0" applyAlignment="1"/>
    <xf numFmtId="0" fontId="1" fillId="0" borderId="0" xfId="0" applyFont="1" applyAlignment="1"/>
    <xf numFmtId="0" fontId="2" fillId="0" borderId="0" xfId="0" applyFont="1" applyAlignment="1"/>
    <xf numFmtId="0" fontId="3" fillId="2" borderId="0" xfId="0" applyFont="1" applyFill="1" applyAlignment="1">
      <alignment vertical="center" wrapText="1"/>
    </xf>
    <xf numFmtId="0" fontId="4" fillId="0" borderId="0" xfId="0" applyFont="1" applyAlignment="1"/>
    <xf numFmtId="2" fontId="4" fillId="0" borderId="0" xfId="0" applyNumberFormat="1" applyFont="1" applyAlignment="1"/>
    <xf numFmtId="3" fontId="4" fillId="0" borderId="0" xfId="0" applyNumberFormat="1" applyFont="1" applyAlignment="1"/>
    <xf numFmtId="0" fontId="4" fillId="0" borderId="0" xfId="0" applyFont="1" applyAlignment="1">
      <alignment vertical="top" wrapText="1"/>
    </xf>
    <xf numFmtId="0" fontId="4" fillId="0" borderId="0" xfId="0" applyFont="1" applyBorder="1" applyAlignment="1">
      <alignment vertical="top" wrapText="1"/>
    </xf>
    <xf numFmtId="0" fontId="5" fillId="0" borderId="0" xfId="0" applyFont="1" applyAlignment="1"/>
    <xf numFmtId="0" fontId="6" fillId="0" borderId="0" xfId="0" applyFont="1" applyAlignment="1"/>
    <xf numFmtId="0" fontId="0" fillId="0" borderId="1" xfId="0" applyFont="1" applyBorder="1" applyAlignment="1"/>
    <xf numFmtId="0" fontId="0" fillId="0" borderId="0" xfId="0" applyFont="1" applyAlignment="1">
      <alignment vertical="top" wrapText="1"/>
    </xf>
    <xf numFmtId="0" fontId="0" fillId="3" borderId="0" xfId="0" applyFill="1" applyAlignment="1"/>
    <xf numFmtId="0" fontId="7" fillId="0" borderId="0" xfId="0" applyFont="1" applyAlignment="1"/>
    <xf numFmtId="0" fontId="0" fillId="4" borderId="1" xfId="0" applyFill="1" applyBorder="1" applyAlignment="1"/>
    <xf numFmtId="0" fontId="7" fillId="0" borderId="0" xfId="0" applyFont="1" applyAlignment="1">
      <alignment vertical="top" wrapText="1"/>
    </xf>
    <xf numFmtId="0" fontId="6" fillId="0" borderId="0" xfId="0" applyFont="1" applyBorder="1" applyAlignment="1">
      <alignment vertical="top" wrapText="1"/>
    </xf>
    <xf numFmtId="176" fontId="0" fillId="4" borderId="1" xfId="0" applyNumberFormat="1" applyFill="1" applyBorder="1" applyAlignment="1"/>
    <xf numFmtId="177" fontId="0" fillId="4" borderId="1" xfId="0" applyNumberFormat="1" applyFill="1" applyBorder="1" applyAlignment="1"/>
    <xf numFmtId="178" fontId="0" fillId="4" borderId="1" xfId="0" applyNumberFormat="1" applyFill="1" applyBorder="1" applyAlignment="1"/>
    <xf numFmtId="179" fontId="0" fillId="4" borderId="1" xfId="0" applyNumberFormat="1" applyFill="1" applyBorder="1" applyAlignment="1"/>
    <xf numFmtId="180" fontId="0" fillId="4" borderId="1" xfId="0" applyNumberFormat="1" applyFill="1" applyBorder="1" applyAlignment="1"/>
    <xf numFmtId="0" fontId="1" fillId="0" borderId="0" xfId="0" applyFont="1" applyBorder="1" applyAlignment="1">
      <alignment vertical="top" wrapText="1"/>
    </xf>
    <xf numFmtId="0" fontId="7" fillId="0" borderId="0" xfId="0" applyFont="1" applyBorder="1" applyAlignment="1">
      <alignment vertical="top" wrapText="1"/>
    </xf>
    <xf numFmtId="0" fontId="0" fillId="3" borderId="0" xfId="0" applyFill="1" applyBorder="1" applyAlignment="1">
      <alignment wrapText="1"/>
    </xf>
    <xf numFmtId="0" fontId="4" fillId="3" borderId="1" xfId="0" applyFont="1" applyFill="1" applyBorder="1" applyAlignment="1">
      <alignment vertical="top" wrapText="1"/>
    </xf>
    <xf numFmtId="0" fontId="8" fillId="0" borderId="0" xfId="0" applyFont="1" applyAlignment="1"/>
    <xf numFmtId="0" fontId="0" fillId="0" borderId="1" xfId="0" applyFont="1" applyBorder="1" applyAlignment="1">
      <alignment vertical="center"/>
    </xf>
    <xf numFmtId="181" fontId="0" fillId="3" borderId="1" xfId="0" applyNumberFormat="1" applyFill="1" applyBorder="1" applyAlignment="1">
      <alignment vertical="center"/>
    </xf>
    <xf numFmtId="0" fontId="0" fillId="0" borderId="0" xfId="0" applyAlignment="1">
      <alignment vertical="center"/>
    </xf>
    <xf numFmtId="0" fontId="4" fillId="3" borderId="0" xfId="0" applyFont="1" applyFill="1" applyAlignment="1">
      <alignment vertical="center"/>
    </xf>
    <xf numFmtId="0" fontId="2" fillId="0" borderId="0" xfId="0" applyFont="1" applyAlignment="1">
      <alignment vertical="center" wrapText="1"/>
    </xf>
    <xf numFmtId="0" fontId="0" fillId="0" borderId="1" xfId="0" applyFont="1" applyBorder="1" applyAlignment="1">
      <alignment vertical="center" wrapText="1"/>
    </xf>
    <xf numFmtId="176" fontId="0" fillId="3" borderId="1" xfId="0" applyNumberFormat="1" applyFill="1" applyBorder="1" applyAlignment="1">
      <alignment vertical="center"/>
    </xf>
    <xf numFmtId="180" fontId="0" fillId="3" borderId="1" xfId="0" applyNumberFormat="1" applyFill="1" applyBorder="1" applyAlignment="1">
      <alignment vertical="center"/>
    </xf>
    <xf numFmtId="178" fontId="7" fillId="4" borderId="1" xfId="0" applyNumberFormat="1" applyFont="1" applyFill="1" applyBorder="1" applyAlignment="1"/>
    <xf numFmtId="180" fontId="7" fillId="4" borderId="1" xfId="0" applyNumberFormat="1" applyFont="1" applyFill="1" applyBorder="1" applyAlignment="1"/>
    <xf numFmtId="0" fontId="7" fillId="4" borderId="1" xfId="0" applyFont="1" applyFill="1" applyBorder="1" applyAlignment="1"/>
    <xf numFmtId="0" fontId="7" fillId="5" borderId="0" xfId="0" applyFont="1" applyFill="1" applyAlignment="1"/>
    <xf numFmtId="181" fontId="0" fillId="0" borderId="0" xfId="0" applyNumberFormat="1" applyAlignment="1"/>
    <xf numFmtId="180" fontId="0" fillId="0" borderId="0" xfId="0" applyNumberFormat="1" applyAlignment="1"/>
    <xf numFmtId="0" fontId="0" fillId="0" borderId="1" xfId="0" applyFont="1" applyBorder="1" applyAlignment="1">
      <alignment vertical="top" wrapText="1"/>
    </xf>
    <xf numFmtId="3" fontId="0" fillId="4" borderId="1" xfId="0" applyNumberFormat="1" applyFill="1" applyBorder="1" applyAlignment="1"/>
    <xf numFmtId="9" fontId="4" fillId="3" borderId="0" xfId="0" applyNumberFormat="1" applyFont="1" applyFill="1" applyAlignment="1"/>
    <xf numFmtId="0" fontId="3" fillId="2" borderId="0" xfId="0" applyFont="1" applyFill="1" applyAlignment="1">
      <alignment horizontal="left" vertical="center" wrapText="1"/>
    </xf>
    <xf numFmtId="0" fontId="3" fillId="2" borderId="0" xfId="0" applyFont="1" applyFill="1" applyAlignment="1">
      <alignment horizontal="center" vertical="center" wrapText="1"/>
    </xf>
    <xf numFmtId="0" fontId="4" fillId="0" borderId="0" xfId="0" applyFont="1" applyAlignment="1">
      <alignment horizontal="center"/>
    </xf>
    <xf numFmtId="180" fontId="4" fillId="4" borderId="0" xfId="0" applyNumberFormat="1" applyFont="1" applyFill="1" applyAlignment="1"/>
    <xf numFmtId="179" fontId="4" fillId="4" borderId="0" xfId="0" applyNumberFormat="1" applyFont="1" applyFill="1" applyAlignment="1">
      <alignment vertical="center" wrapText="1"/>
    </xf>
    <xf numFmtId="1" fontId="4" fillId="4" borderId="0" xfId="0" applyNumberFormat="1" applyFont="1" applyFill="1" applyAlignment="1">
      <alignment horizontal="center"/>
    </xf>
    <xf numFmtId="176" fontId="4" fillId="4" borderId="0" xfId="0" applyNumberFormat="1" applyFont="1" applyFill="1" applyAlignment="1"/>
    <xf numFmtId="181" fontId="4" fillId="4" borderId="0" xfId="0" applyNumberFormat="1" applyFont="1" applyFill="1" applyAlignment="1"/>
    <xf numFmtId="0" fontId="9" fillId="4" borderId="0" xfId="0" applyFont="1" applyFill="1" applyAlignment="1"/>
    <xf numFmtId="0" fontId="7" fillId="0" borderId="0" xfId="0" applyFont="1" applyAlignment="1">
      <alignment vertical="center" wrapText="1"/>
    </xf>
    <xf numFmtId="0" fontId="3" fillId="2" borderId="0" xfId="0" applyFont="1" applyFill="1" applyAlignment="1">
      <alignment vertical="top" wrapText="1"/>
    </xf>
    <xf numFmtId="0" fontId="3" fillId="2" borderId="0" xfId="0" applyFont="1" applyFill="1" applyBorder="1" applyAlignment="1">
      <alignment vertical="center" wrapText="1"/>
    </xf>
    <xf numFmtId="0" fontId="4" fillId="0" borderId="1" xfId="0" applyFont="1" applyBorder="1" applyAlignment="1"/>
    <xf numFmtId="180" fontId="4" fillId="4" borderId="1" xfId="0" applyNumberFormat="1" applyFont="1" applyFill="1" applyBorder="1" applyAlignment="1"/>
    <xf numFmtId="180" fontId="10" fillId="4" borderId="1" xfId="0" applyNumberFormat="1" applyFont="1" applyFill="1" applyBorder="1" applyAlignment="1"/>
    <xf numFmtId="9" fontId="4" fillId="4" borderId="1" xfId="0" applyNumberFormat="1" applyFont="1" applyFill="1" applyBorder="1" applyAlignment="1"/>
    <xf numFmtId="176" fontId="4" fillId="4" borderId="1" xfId="0" applyNumberFormat="1" applyFont="1" applyFill="1" applyBorder="1" applyAlignment="1"/>
    <xf numFmtId="176" fontId="10" fillId="4" borderId="1" xfId="0" applyNumberFormat="1" applyFont="1" applyFill="1" applyBorder="1" applyAlignment="1"/>
    <xf numFmtId="0" fontId="4" fillId="4" borderId="1" xfId="0" applyFont="1" applyFill="1" applyBorder="1" applyAlignment="1"/>
    <xf numFmtId="182" fontId="4" fillId="4" borderId="1" xfId="0" applyNumberFormat="1" applyFont="1" applyFill="1" applyBorder="1" applyAlignment="1"/>
    <xf numFmtId="182" fontId="10" fillId="4" borderId="1" xfId="0" applyNumberFormat="1" applyFont="1" applyFill="1" applyBorder="1" applyAlignment="1"/>
    <xf numFmtId="0" fontId="11" fillId="0" borderId="0" xfId="0" applyFont="1" applyAlignment="1"/>
    <xf numFmtId="180" fontId="11" fillId="0" borderId="0" xfId="0" applyNumberFormat="1" applyFont="1" applyAlignment="1"/>
    <xf numFmtId="181" fontId="11" fillId="0" borderId="0" xfId="0" applyNumberFormat="1" applyFont="1" applyAlignment="1"/>
    <xf numFmtId="176" fontId="11" fillId="0" borderId="0" xfId="0" applyNumberFormat="1" applyFont="1" applyAlignment="1"/>
    <xf numFmtId="177" fontId="7" fillId="4" borderId="1" xfId="0" applyNumberFormat="1" applyFont="1" applyFill="1" applyBorder="1" applyAlignment="1"/>
    <xf numFmtId="2" fontId="0" fillId="3" borderId="1" xfId="0" applyNumberFormat="1" applyFill="1" applyBorder="1" applyAlignment="1">
      <alignment vertical="center"/>
    </xf>
    <xf numFmtId="0" fontId="4" fillId="3" borderId="0" xfId="0" applyFont="1" applyFill="1" applyAlignment="1">
      <alignment vertical="center" wrapText="1"/>
    </xf>
    <xf numFmtId="3" fontId="0" fillId="3" borderId="1" xfId="0" applyNumberFormat="1" applyFill="1" applyBorder="1" applyAlignment="1">
      <alignment vertical="center"/>
    </xf>
    <xf numFmtId="0" fontId="2" fillId="0" borderId="0" xfId="0" applyFont="1" applyAlignment="1">
      <alignment vertical="top" wrapText="1"/>
    </xf>
    <xf numFmtId="0" fontId="0" fillId="3" borderId="0" xfId="0" applyFill="1" applyAlignment="1">
      <alignment wrapText="1"/>
    </xf>
    <xf numFmtId="0" fontId="4" fillId="3" borderId="0" xfId="0" applyFont="1" applyFill="1" applyAlignment="1"/>
    <xf numFmtId="180" fontId="0" fillId="3" borderId="1" xfId="0" applyNumberFormat="1" applyFill="1" applyBorder="1" applyAlignment="1"/>
    <xf numFmtId="176" fontId="0" fillId="3" borderId="1" xfId="0" applyNumberFormat="1" applyFill="1" applyBorder="1" applyAlignment="1"/>
    <xf numFmtId="3" fontId="0" fillId="3" borderId="1" xfId="0" applyNumberFormat="1" applyFill="1" applyBorder="1" applyAlignment="1"/>
    <xf numFmtId="176" fontId="7" fillId="4" borderId="1" xfId="0" applyNumberFormat="1" applyFont="1" applyFill="1" applyBorder="1" applyAlignment="1"/>
    <xf numFmtId="180" fontId="4" fillId="3" borderId="1" xfId="0" applyNumberFormat="1" applyFont="1" applyFill="1" applyBorder="1" applyAlignment="1"/>
    <xf numFmtId="0" fontId="4" fillId="3" borderId="1" xfId="0" applyFont="1" applyFill="1" applyBorder="1" applyAlignment="1"/>
    <xf numFmtId="9" fontId="4" fillId="3" borderId="1" xfId="0" applyNumberFormat="1" applyFont="1" applyFill="1" applyBorder="1" applyAlignment="1"/>
    <xf numFmtId="0" fontId="4" fillId="4" borderId="1" xfId="0" applyFont="1" applyFill="1" applyBorder="1" applyAlignment="1">
      <alignment vertical="top" wrapText="1"/>
    </xf>
    <xf numFmtId="2" fontId="4" fillId="4" borderId="1" xfId="0" applyNumberFormat="1" applyFont="1" applyFill="1" applyBorder="1" applyAlignment="1"/>
    <xf numFmtId="0" fontId="10" fillId="0" borderId="1" xfId="0" applyFont="1" applyBorder="1" applyAlignment="1"/>
    <xf numFmtId="0" fontId="2" fillId="0" borderId="0" xfId="0" applyFont="1" applyBorder="1" applyAlignment="1">
      <alignment vertical="top" wrapText="1"/>
    </xf>
    <xf numFmtId="0" fontId="8" fillId="0" borderId="0" xfId="0" applyFont="1" applyBorder="1" applyAlignment="1">
      <alignment vertical="top" wrapText="1"/>
    </xf>
    <xf numFmtId="0" fontId="0" fillId="3" borderId="0" xfId="0" applyFill="1" applyAlignment="1">
      <alignment vertical="center"/>
    </xf>
    <xf numFmtId="0" fontId="0" fillId="3" borderId="0" xfId="0" applyFill="1" applyAlignment="1">
      <alignment vertical="center" wrapText="1"/>
    </xf>
    <xf numFmtId="183" fontId="0" fillId="3" borderId="1" xfId="0" applyNumberForma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180" fontId="4" fillId="0" borderId="1" xfId="0" applyNumberFormat="1" applyFont="1" applyBorder="1" applyAlignment="1">
      <alignment vertical="center"/>
    </xf>
    <xf numFmtId="0" fontId="4" fillId="0" borderId="1" xfId="0" applyFont="1" applyBorder="1" applyAlignment="1">
      <alignment vertical="center" wrapText="1"/>
    </xf>
    <xf numFmtId="0" fontId="4" fillId="3" borderId="1" xfId="0" applyFont="1" applyFill="1" applyBorder="1" applyAlignment="1">
      <alignment vertical="center" wrapText="1"/>
    </xf>
    <xf numFmtId="0" fontId="10" fillId="0" borderId="1" xfId="0" applyFont="1" applyBorder="1" applyAlignment="1">
      <alignment vertical="top" wrapText="1"/>
    </xf>
    <xf numFmtId="0" fontId="10" fillId="4" borderId="1" xfId="0" applyFont="1" applyFill="1" applyBorder="1" applyAlignment="1">
      <alignment vertical="top" wrapText="1"/>
    </xf>
    <xf numFmtId="0" fontId="10" fillId="4" borderId="1" xfId="0" applyFont="1" applyFill="1" applyBorder="1" applyAlignment="1"/>
    <xf numFmtId="0" fontId="4" fillId="0" borderId="1" xfId="0" applyFont="1" applyBorder="1" applyAlignment="1">
      <alignment vertical="top" wrapText="1"/>
    </xf>
    <xf numFmtId="180" fontId="4" fillId="0" borderId="1" xfId="0" applyNumberFormat="1" applyFont="1" applyBorder="1" applyAlignment="1"/>
    <xf numFmtId="9" fontId="4" fillId="0" borderId="1" xfId="0" applyNumberFormat="1" applyFont="1" applyBorder="1" applyAlignment="1"/>
    <xf numFmtId="182" fontId="4" fillId="3" borderId="1" xfId="0" applyNumberFormat="1" applyFont="1" applyFill="1" applyBorder="1" applyAlignment="1"/>
    <xf numFmtId="0" fontId="3" fillId="2" borderId="0" xfId="0" applyFont="1" applyFill="1" applyAlignment="1">
      <alignment wrapText="1"/>
    </xf>
    <xf numFmtId="0" fontId="0" fillId="3" borderId="1" xfId="0" applyFill="1" applyBorder="1" applyAlignment="1">
      <alignment vertical="top" wrapText="1"/>
    </xf>
    <xf numFmtId="0" fontId="0" fillId="4" borderId="0" xfId="0" applyFont="1" applyFill="1" applyAlignment="1"/>
    <xf numFmtId="0" fontId="6" fillId="0" borderId="0" xfId="0" applyFont="1" applyAlignment="1">
      <alignment vertical="top" wrapText="1"/>
    </xf>
    <xf numFmtId="0" fontId="0" fillId="3" borderId="0" xfId="0" applyFont="1" applyFill="1" applyAlignment="1"/>
    <xf numFmtId="0" fontId="12" fillId="0" borderId="0" xfId="0" applyFont="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8">
    <dxf>
      <font>
        <b val="1"/>
        <color rgb="FFC00000"/>
      </font>
      <fill>
        <patternFill patternType="solid">
          <bgColor rgb="FFF8CBAD"/>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2CC"/>
      <rgbColor rgb="00CCFFFF"/>
      <rgbColor rgb="00660066"/>
      <rgbColor rgb="00FF8080"/>
      <rgbColor rgb="000066CC"/>
      <rgbColor rgb="00D9E1F2"/>
      <rgbColor rgb="00000080"/>
      <rgbColor rgb="00FF00FF"/>
      <rgbColor rgb="00FFFF00"/>
      <rgbColor rgb="0000FFFF"/>
      <rgbColor rgb="00800080"/>
      <rgbColor rgb="00800000"/>
      <rgbColor rgb="00008080"/>
      <rgbColor rgb="000000FF"/>
      <rgbColor rgb="0000CCFF"/>
      <rgbColor rgb="00CCFFFF"/>
      <rgbColor rgb="00E2EFDA"/>
      <rgbColor rgb="00FFFF99"/>
      <rgbColor rgb="0099CCFF"/>
      <rgbColor rgb="00FF99CC"/>
      <rgbColor rgb="00CC99FF"/>
      <rgbColor rgb="00F8CBAD"/>
      <rgbColor rgb="003366FF"/>
      <rgbColor rgb="0033CCCC"/>
      <rgbColor rgb="0099CC00"/>
      <rgbColor rgb="00FFCC00"/>
      <rgbColor rgb="00FF9900"/>
      <rgbColor rgb="00FF6600"/>
      <rgbColor rgb="00595959"/>
      <rgbColor rgb="00969696"/>
      <rgbColor rgb="001F3864"/>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8"/>
  <sheetViews>
    <sheetView workbookViewId="0">
      <selection activeCell="A1" sqref="A1"/>
    </sheetView>
  </sheetViews>
  <sheetFormatPr defaultColWidth="8.67592592592593" defaultRowHeight="14.4"/>
  <cols>
    <col min="1" max="1" width="130" style="1" customWidth="1"/>
  </cols>
  <sheetData>
    <row r="1" ht="17.25" customHeight="1" spans="1:1">
      <c r="A1" s="10" t="s">
        <v>0</v>
      </c>
    </row>
    <row r="2" ht="46.5" customHeight="1" spans="1:1">
      <c r="A2" s="108" t="s">
        <v>1</v>
      </c>
    </row>
    <row r="3" ht="31.5" customHeight="1" spans="1:1">
      <c r="A3" s="13" t="s">
        <v>2</v>
      </c>
    </row>
    <row r="4" ht="31.5" customHeight="1" spans="1:1">
      <c r="A4" s="13" t="s">
        <v>3</v>
      </c>
    </row>
    <row r="5" ht="46.5" customHeight="1" spans="1:1">
      <c r="A5" s="13" t="s">
        <v>4</v>
      </c>
    </row>
    <row r="6" ht="46.5" customHeight="1" spans="1:1">
      <c r="A6" s="13" t="s">
        <v>5</v>
      </c>
    </row>
    <row r="7" ht="31.5" customHeight="1" spans="1:1">
      <c r="A7" s="13" t="s">
        <v>6</v>
      </c>
    </row>
    <row r="8" ht="16.5" customHeight="1" spans="1:1">
      <c r="A8" s="13" t="s">
        <v>7</v>
      </c>
    </row>
    <row r="9" ht="46.5" customHeight="1" spans="1:1">
      <c r="A9" s="13" t="s">
        <v>8</v>
      </c>
    </row>
    <row r="10" ht="16.5" customHeight="1" spans="1:1">
      <c r="A10" s="13" t="s">
        <v>9</v>
      </c>
    </row>
    <row r="11" ht="31.5" customHeight="1" spans="1:1">
      <c r="A11" s="13" t="s">
        <v>10</v>
      </c>
    </row>
    <row r="12" ht="31.5" customHeight="1" spans="1:1">
      <c r="A12" s="13" t="s">
        <v>11</v>
      </c>
    </row>
    <row r="13" ht="31.5" customHeight="1" spans="1:1">
      <c r="A13" s="13" t="s">
        <v>12</v>
      </c>
    </row>
    <row r="14" ht="16.5" customHeight="1" spans="1:1">
      <c r="A14" s="13" t="s">
        <v>13</v>
      </c>
    </row>
    <row r="15" ht="15" customHeight="1" spans="1:1">
      <c r="A15" s="15" t="s">
        <v>14</v>
      </c>
    </row>
    <row r="16" ht="15" customHeight="1" spans="1:1">
      <c r="A16" s="109" t="s">
        <v>15</v>
      </c>
    </row>
    <row r="17" ht="15" customHeight="1" spans="1:1">
      <c r="A17" s="107" t="s">
        <v>16</v>
      </c>
    </row>
    <row r="18" ht="15" customHeight="1" spans="1:1">
      <c r="A18" s="110" t="s">
        <v>17</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3"/>
  <sheetViews>
    <sheetView workbookViewId="0">
      <selection activeCell="A1" sqref="A1"/>
    </sheetView>
  </sheetViews>
  <sheetFormatPr defaultColWidth="8.67592592592593" defaultRowHeight="14.4" outlineLevelCol="4"/>
  <cols>
    <col min="1" max="1" width="52" style="1" customWidth="1"/>
    <col min="2" max="2" width="14" style="1" customWidth="1"/>
    <col min="3" max="4" width="46" style="1" customWidth="1"/>
    <col min="5" max="5" width="36" style="1" customWidth="1"/>
  </cols>
  <sheetData>
    <row r="1" ht="17.25" customHeight="1" spans="1:5">
      <c r="A1" s="10" t="s">
        <v>18</v>
      </c>
    </row>
    <row r="2" ht="15" customHeight="1" spans="1:5">
      <c r="A2" s="11" t="s">
        <v>19</v>
      </c>
    </row>
    <row r="4" ht="26.25" customHeight="1" spans="1:5">
      <c r="A4" s="105" t="s">
        <v>20</v>
      </c>
      <c r="B4" s="105" t="s">
        <v>21</v>
      </c>
      <c r="C4" s="105" t="s">
        <v>22</v>
      </c>
      <c r="D4" s="105" t="s">
        <v>23</v>
      </c>
      <c r="E4" s="105" t="s">
        <v>24</v>
      </c>
    </row>
    <row r="5" ht="33.75" customHeight="1" spans="1:5">
      <c r="A5" s="43" t="s">
        <v>25</v>
      </c>
      <c r="B5" s="106" t="s">
        <v>26</v>
      </c>
      <c r="C5" s="43" t="s">
        <v>27</v>
      </c>
      <c r="D5" s="43" t="s">
        <v>28</v>
      </c>
      <c r="E5" s="106" t="s">
        <v>29</v>
      </c>
    </row>
    <row r="6" ht="33.75" customHeight="1" spans="1:5">
      <c r="A6" s="43" t="s">
        <v>30</v>
      </c>
      <c r="B6" s="106" t="s">
        <v>26</v>
      </c>
      <c r="C6" s="43" t="s">
        <v>31</v>
      </c>
      <c r="D6" s="43" t="s">
        <v>32</v>
      </c>
      <c r="E6" s="106" t="s">
        <v>29</v>
      </c>
    </row>
    <row r="7" ht="33.75" customHeight="1" spans="1:5">
      <c r="A7" s="43" t="s">
        <v>33</v>
      </c>
      <c r="B7" s="106" t="s">
        <v>26</v>
      </c>
      <c r="C7" s="43" t="s">
        <v>34</v>
      </c>
      <c r="D7" s="43" t="s">
        <v>35</v>
      </c>
      <c r="E7" s="106" t="s">
        <v>29</v>
      </c>
    </row>
    <row r="8" ht="33.75" customHeight="1" spans="1:5">
      <c r="A8" s="43" t="s">
        <v>36</v>
      </c>
      <c r="B8" s="106" t="s">
        <v>26</v>
      </c>
      <c r="C8" s="43" t="s">
        <v>37</v>
      </c>
      <c r="D8" s="43" t="s">
        <v>38</v>
      </c>
      <c r="E8" s="106" t="s">
        <v>29</v>
      </c>
    </row>
    <row r="9" ht="33.75" customHeight="1" spans="1:5">
      <c r="A9" s="43" t="s">
        <v>39</v>
      </c>
      <c r="B9" s="106" t="s">
        <v>26</v>
      </c>
      <c r="C9" s="43" t="s">
        <v>40</v>
      </c>
      <c r="D9" s="43" t="s">
        <v>41</v>
      </c>
      <c r="E9" s="106" t="s">
        <v>29</v>
      </c>
    </row>
    <row r="10" ht="61.5" customHeight="1" spans="1:5">
      <c r="A10" s="43" t="s">
        <v>42</v>
      </c>
      <c r="B10" s="106" t="s">
        <v>43</v>
      </c>
      <c r="C10" s="43" t="s">
        <v>44</v>
      </c>
      <c r="D10" s="43" t="s">
        <v>45</v>
      </c>
      <c r="E10" s="106" t="s">
        <v>46</v>
      </c>
    </row>
    <row r="12" ht="15" customHeight="1" spans="1:5">
      <c r="A12" s="15" t="s">
        <v>47</v>
      </c>
      <c r="B12" s="107">
        <f>COUNTIF(B5:B10,"Có")</f>
        <v>1</v>
      </c>
    </row>
    <row r="13" ht="15" customHeight="1" spans="1:5">
      <c r="A13" s="11" t="s">
        <v>48</v>
      </c>
    </row>
  </sheetData>
  <dataValidations count="1">
    <dataValidation type="list" allowBlank="1" sqref="B5:B10">
      <formula1>"Có,Chưa"</formula1>
    </dataValidation>
  </dataValidation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89"/>
  <sheetViews>
    <sheetView tabSelected="1" workbookViewId="0">
      <pane ySplit="6" topLeftCell="A59" activePane="bottomLeft" state="frozen"/>
      <selection/>
      <selection pane="bottomLeft" activeCell="A1" sqref="A1"/>
    </sheetView>
  </sheetViews>
  <sheetFormatPr defaultColWidth="8.67592592592593" defaultRowHeight="14.4" outlineLevelCol="6"/>
  <cols>
    <col min="1" max="1" width="6" style="1" customWidth="1"/>
    <col min="2" max="2" width="60" style="1" customWidth="1"/>
    <col min="3" max="5" width="14" style="1" customWidth="1"/>
    <col min="6" max="6" width="30" style="1" customWidth="1"/>
    <col min="7" max="7" width="34" style="1" customWidth="1"/>
  </cols>
  <sheetData>
    <row r="1" ht="17.25" customHeight="1" spans="1:7">
      <c r="A1" s="10" t="s">
        <v>49</v>
      </c>
    </row>
    <row r="2" ht="15" customHeight="1" spans="1:7">
      <c r="A2" s="11" t="s">
        <v>50</v>
      </c>
    </row>
    <row r="3" ht="31.5" customHeight="1" spans="1:7">
      <c r="A3" s="88" t="s">
        <v>51</v>
      </c>
      <c r="B3" s="88"/>
      <c r="C3" s="88"/>
      <c r="D3" s="88"/>
      <c r="E3" s="88"/>
      <c r="F3" s="88"/>
      <c r="G3" s="88"/>
    </row>
    <row r="5" ht="15" customHeight="1" spans="1:7">
      <c r="A5" s="15" t="s">
        <v>52</v>
      </c>
    </row>
    <row r="6" ht="31.5" customHeight="1" spans="1:7">
      <c r="A6" s="4" t="s">
        <v>53</v>
      </c>
      <c r="B6" s="4" t="s">
        <v>54</v>
      </c>
      <c r="C6" s="4" t="s">
        <v>55</v>
      </c>
      <c r="D6" s="4" t="s">
        <v>56</v>
      </c>
      <c r="E6" s="4" t="s">
        <v>57</v>
      </c>
      <c r="F6" s="4" t="s">
        <v>58</v>
      </c>
      <c r="G6" s="4" t="s">
        <v>59</v>
      </c>
    </row>
    <row r="7" ht="30" customHeight="1" spans="1:7">
      <c r="A7" s="93">
        <v>1</v>
      </c>
      <c r="B7" s="94" t="s">
        <v>60</v>
      </c>
      <c r="C7" s="95">
        <v>1000</v>
      </c>
      <c r="D7" s="95"/>
      <c r="E7" s="95"/>
      <c r="F7" s="96"/>
      <c r="G7" s="97" t="s">
        <v>61</v>
      </c>
    </row>
    <row r="8" ht="30" customHeight="1" spans="1:7">
      <c r="A8" s="93">
        <v>2</v>
      </c>
      <c r="B8" s="94" t="s">
        <v>62</v>
      </c>
      <c r="C8" s="95">
        <v>300</v>
      </c>
      <c r="D8" s="95"/>
      <c r="E8" s="95"/>
      <c r="F8" s="96" t="s">
        <v>63</v>
      </c>
      <c r="G8" s="97" t="s">
        <v>64</v>
      </c>
    </row>
    <row r="9" ht="30" customHeight="1" spans="1:7">
      <c r="A9" s="93">
        <v>3</v>
      </c>
      <c r="B9" s="94" t="s">
        <v>65</v>
      </c>
      <c r="C9" s="95">
        <v>360</v>
      </c>
      <c r="D9" s="95"/>
      <c r="E9" s="95"/>
      <c r="F9" s="96" t="s">
        <v>66</v>
      </c>
      <c r="G9" s="97" t="s">
        <v>67</v>
      </c>
    </row>
    <row r="10" ht="30" customHeight="1" spans="1:7">
      <c r="A10" s="93">
        <v>4</v>
      </c>
      <c r="B10" s="94" t="s">
        <v>68</v>
      </c>
      <c r="C10" s="95">
        <v>50</v>
      </c>
      <c r="D10" s="95">
        <v>80</v>
      </c>
      <c r="E10" s="95">
        <v>110</v>
      </c>
      <c r="F10" s="96"/>
      <c r="G10" s="97" t="s">
        <v>69</v>
      </c>
    </row>
    <row r="11" ht="30" customHeight="1" spans="1:7">
      <c r="A11" s="93">
        <v>5</v>
      </c>
      <c r="B11" s="94" t="s">
        <v>70</v>
      </c>
      <c r="C11" s="95">
        <v>240</v>
      </c>
      <c r="D11" s="95"/>
      <c r="E11" s="95"/>
      <c r="F11" s="96" t="s">
        <v>71</v>
      </c>
      <c r="G11" s="97" t="s">
        <v>72</v>
      </c>
    </row>
    <row r="12" ht="30" customHeight="1" spans="1:7">
      <c r="A12" s="93">
        <v>6</v>
      </c>
      <c r="B12" s="94" t="s">
        <v>73</v>
      </c>
      <c r="C12" s="95"/>
      <c r="D12" s="95">
        <v>90</v>
      </c>
      <c r="E12" s="95"/>
      <c r="F12" s="96" t="s">
        <v>74</v>
      </c>
      <c r="G12" s="97" t="s">
        <v>75</v>
      </c>
    </row>
    <row r="13" ht="30" customHeight="1" spans="1:7">
      <c r="A13" s="93">
        <v>7</v>
      </c>
      <c r="B13" s="94" t="s">
        <v>76</v>
      </c>
      <c r="C13" s="95">
        <v>15</v>
      </c>
      <c r="D13" s="95">
        <v>25</v>
      </c>
      <c r="E13" s="95">
        <v>35</v>
      </c>
      <c r="F13" s="96" t="s">
        <v>77</v>
      </c>
      <c r="G13" s="97" t="s">
        <v>78</v>
      </c>
    </row>
    <row r="14" ht="30" customHeight="1" spans="1:7">
      <c r="A14" s="93">
        <v>8</v>
      </c>
      <c r="B14" s="94" t="s">
        <v>79</v>
      </c>
      <c r="C14" s="95">
        <v>10</v>
      </c>
      <c r="D14" s="95">
        <v>10</v>
      </c>
      <c r="E14" s="95">
        <v>10</v>
      </c>
      <c r="F14" s="96"/>
      <c r="G14" s="97" t="s">
        <v>80</v>
      </c>
    </row>
    <row r="15" ht="30" customHeight="1" spans="1:7">
      <c r="A15" s="93">
        <v>9</v>
      </c>
      <c r="B15" s="94" t="s">
        <v>81</v>
      </c>
      <c r="C15" s="95">
        <v>120</v>
      </c>
      <c r="D15" s="95">
        <v>120</v>
      </c>
      <c r="E15" s="95">
        <v>120</v>
      </c>
      <c r="F15" s="96"/>
      <c r="G15" s="97" t="s">
        <v>82</v>
      </c>
    </row>
    <row r="16" ht="30" customHeight="1" spans="1:7">
      <c r="A16" s="93">
        <v>10</v>
      </c>
      <c r="B16" s="94" t="s">
        <v>83</v>
      </c>
      <c r="C16" s="95">
        <v>20</v>
      </c>
      <c r="D16" s="95">
        <v>20</v>
      </c>
      <c r="E16" s="95">
        <v>20</v>
      </c>
      <c r="F16" s="96"/>
      <c r="G16" s="97" t="s">
        <v>84</v>
      </c>
    </row>
    <row r="17" ht="30" customHeight="1" spans="1:7">
      <c r="A17" s="93">
        <v>11</v>
      </c>
      <c r="B17" s="94" t="s">
        <v>85</v>
      </c>
      <c r="C17" s="95">
        <v>0</v>
      </c>
      <c r="D17" s="95">
        <v>0</v>
      </c>
      <c r="E17" s="95">
        <v>0</v>
      </c>
      <c r="F17" s="96" t="s">
        <v>86</v>
      </c>
      <c r="G17" s="97" t="s">
        <v>87</v>
      </c>
    </row>
    <row r="19" ht="16.5" customHeight="1" spans="1:7">
      <c r="A19" s="25" t="s">
        <v>88</v>
      </c>
      <c r="B19" s="25"/>
      <c r="C19" s="25"/>
      <c r="D19" s="25"/>
      <c r="E19" s="25"/>
      <c r="F19" s="25"/>
      <c r="G19" s="25"/>
    </row>
    <row r="20" ht="15" customHeight="1" spans="1:7">
      <c r="B20" s="4" t="s">
        <v>89</v>
      </c>
      <c r="C20" s="4" t="s">
        <v>55</v>
      </c>
      <c r="D20" s="4" t="s">
        <v>56</v>
      </c>
      <c r="E20" s="4" t="s">
        <v>57</v>
      </c>
      <c r="F20" s="4" t="s">
        <v>90</v>
      </c>
      <c r="G20" s="4" t="s">
        <v>91</v>
      </c>
    </row>
    <row r="21" ht="15" customHeight="1" spans="1:7">
      <c r="B21" s="58" t="s">
        <v>92</v>
      </c>
      <c r="C21" s="82">
        <v>70</v>
      </c>
      <c r="D21" s="82">
        <v>190</v>
      </c>
      <c r="E21" s="82">
        <v>130</v>
      </c>
      <c r="F21" s="59">
        <f t="shared" ref="F21:F31" si="0">IF(COUNT(C21:E21)=0,"",SUM(C21:E21))</f>
        <v>390</v>
      </c>
    </row>
    <row r="22" ht="15" customHeight="1" spans="1:7">
      <c r="B22" s="58" t="s">
        <v>93</v>
      </c>
      <c r="C22" s="82">
        <v>25</v>
      </c>
      <c r="D22" s="82">
        <v>35</v>
      </c>
      <c r="E22" s="82">
        <v>45</v>
      </c>
      <c r="F22" s="59">
        <f t="shared" si="0"/>
        <v>105</v>
      </c>
    </row>
    <row r="23" ht="15" customHeight="1" spans="1:7">
      <c r="B23" s="87" t="s">
        <v>94</v>
      </c>
      <c r="C23" s="82">
        <f>C21-C22</f>
        <v>45</v>
      </c>
      <c r="D23" s="82">
        <f>D21-D22</f>
        <v>155</v>
      </c>
      <c r="E23" s="82">
        <f>E21-E22</f>
        <v>85</v>
      </c>
      <c r="F23" s="60">
        <f t="shared" si="0"/>
        <v>285</v>
      </c>
      <c r="G23" s="64" t="str">
        <f>IF(COUNT(C21:E21,C22:E22,C23:E23)&lt;9,"Chưa điền",IF(AND(ABS(C23-(C21-C22))&lt;0.01,ABS(D23-(D21-D22))&lt;0.01,ABS(E23-(E21-E22))&lt;0.01),"Đạt","Xem lại phép trừ"))</f>
        <v>Đạt</v>
      </c>
    </row>
    <row r="24" ht="15" customHeight="1" spans="1:7">
      <c r="B24" s="58" t="s">
        <v>95</v>
      </c>
      <c r="C24" s="82">
        <v>140</v>
      </c>
      <c r="D24" s="82">
        <v>140</v>
      </c>
      <c r="E24" s="82">
        <v>140</v>
      </c>
      <c r="F24" s="59">
        <f t="shared" si="0"/>
        <v>420</v>
      </c>
    </row>
    <row r="25" ht="15" customHeight="1" spans="1:7">
      <c r="B25" s="87" t="s">
        <v>96</v>
      </c>
      <c r="C25" s="82">
        <f>C23-C24</f>
        <v>-95</v>
      </c>
      <c r="D25" s="82">
        <f>D23-D24</f>
        <v>15</v>
      </c>
      <c r="E25" s="82">
        <f>E23-E24</f>
        <v>-55</v>
      </c>
      <c r="F25" s="60">
        <f t="shared" si="0"/>
        <v>-135</v>
      </c>
      <c r="G25" s="64" t="str">
        <f>IF(COUNT(C23:E23,C24:E24,C25:E25)&lt;9,"Chưa điền",IF(AND(ABS(C25-(C23-C24))&lt;0.01,ABS(D25-(D23-D24))&lt;0.01,ABS(E25-(E23-E24))&lt;0.01),"Đạt","Xem lại phép trừ"))</f>
        <v>Đạt</v>
      </c>
    </row>
    <row r="26" ht="15" customHeight="1" spans="1:7">
      <c r="B26" s="58" t="s">
        <v>97</v>
      </c>
      <c r="C26" s="82">
        <v>10</v>
      </c>
      <c r="D26" s="82">
        <v>10</v>
      </c>
      <c r="E26" s="82">
        <v>10</v>
      </c>
      <c r="F26" s="59">
        <f t="shared" si="0"/>
        <v>30</v>
      </c>
    </row>
    <row r="27" ht="15" customHeight="1" spans="1:7">
      <c r="B27" s="87" t="s">
        <v>98</v>
      </c>
      <c r="C27" s="82">
        <f>C25-C26</f>
        <v>-105</v>
      </c>
      <c r="D27" s="82">
        <f>D25-D26</f>
        <v>5</v>
      </c>
      <c r="E27" s="82">
        <f>E25-E26</f>
        <v>-65</v>
      </c>
      <c r="F27" s="60">
        <f t="shared" si="0"/>
        <v>-165</v>
      </c>
      <c r="G27" s="64" t="str">
        <f>IF(COUNT(C25:E25,C26:E26,C27:E27)&lt;9,"Chưa điền",IF(AND(ABS(C27-(C25-C26))&lt;0.01,ABS(D27-(D25-D26))&lt;0.01,ABS(E27-(E25-E26))&lt;0.01),"Đạt","Xem lại phép trừ"))</f>
        <v>Đạt</v>
      </c>
    </row>
    <row r="28" ht="15" customHeight="1" spans="1:7">
      <c r="B28" s="58" t="s">
        <v>99</v>
      </c>
      <c r="C28" s="82">
        <v>3</v>
      </c>
      <c r="D28" s="82">
        <v>3</v>
      </c>
      <c r="E28" s="82">
        <v>3</v>
      </c>
      <c r="F28" s="59">
        <f t="shared" si="0"/>
        <v>9</v>
      </c>
    </row>
    <row r="29" ht="15" customHeight="1" spans="1:7">
      <c r="B29" s="87" t="s">
        <v>100</v>
      </c>
      <c r="C29" s="82">
        <f>C27-C28</f>
        <v>-108</v>
      </c>
      <c r="D29" s="82">
        <f>D27-D28</f>
        <v>2</v>
      </c>
      <c r="E29" s="82">
        <f>E27-E28</f>
        <v>-68</v>
      </c>
      <c r="F29" s="60">
        <f t="shared" si="0"/>
        <v>-174</v>
      </c>
      <c r="G29" s="64" t="str">
        <f>IF(COUNT(C27:E27,C28:E28,C29:E29)&lt;9,"Chưa điền",IF(AND(ABS(C29-(C27-C28))&lt;0.01,ABS(D29-(D27-D28))&lt;0.01,ABS(E29-(E27-E28))&lt;0.01),"Đạt","Xem lại phép trừ"))</f>
        <v>Đạt</v>
      </c>
    </row>
    <row r="30" ht="15" customHeight="1" spans="1:7">
      <c r="B30" s="58" t="s">
        <v>85</v>
      </c>
      <c r="C30" s="82">
        <v>0</v>
      </c>
      <c r="D30" s="82">
        <v>0</v>
      </c>
      <c r="E30" s="82">
        <v>0</v>
      </c>
      <c r="F30" s="59">
        <f t="shared" si="0"/>
        <v>0</v>
      </c>
    </row>
    <row r="31" ht="15" customHeight="1" spans="1:7">
      <c r="B31" s="87" t="s">
        <v>101</v>
      </c>
      <c r="C31" s="82">
        <f>C29-C30</f>
        <v>-108</v>
      </c>
      <c r="D31" s="82">
        <f>D29-D30</f>
        <v>2</v>
      </c>
      <c r="E31" s="82">
        <f>E29-E30</f>
        <v>-68</v>
      </c>
      <c r="F31" s="60">
        <f t="shared" si="0"/>
        <v>-174</v>
      </c>
      <c r="G31" s="64" t="str">
        <f>IF(COUNT(C29:E29,C30:E30,C31:E31)&lt;9,"Chưa điền",IF(AND(ABS(C31-(C29-C30))&lt;0.01,ABS(D31-(D29-D30))&lt;0.01,ABS(E31-(E29-E30))&lt;0.01),"Đạt","Xem lại phép trừ"))</f>
        <v>Đạt</v>
      </c>
    </row>
    <row r="32" ht="15" customHeight="1" spans="1:7">
      <c r="B32" s="58" t="s">
        <v>102</v>
      </c>
      <c r="C32" s="61">
        <f>IFERROR(C23/C21,0)</f>
        <v>0.642857142857143</v>
      </c>
      <c r="D32" s="61">
        <f>IFERROR(D23/D21,0)</f>
        <v>0.815789473684211</v>
      </c>
      <c r="E32" s="61">
        <f>IFERROR(E23/E21,0)</f>
        <v>0.653846153846154</v>
      </c>
      <c r="F32" s="61">
        <f>IFERROR(F23/F21,"")</f>
        <v>0.730769230769231</v>
      </c>
    </row>
    <row r="33" ht="45" customHeight="1" spans="1:7">
      <c r="B33" s="98" t="s">
        <v>103</v>
      </c>
      <c r="G33" s="99" t="str">
        <f>IF(COUNT(C31:E31)&lt;3,"Chưa điền",IF(ABS(F31+174)&lt;0.01,"Đạt: đã ghi theo kỳ","Chưa đúng: có giao dịch đang ghi theo ngày tiền vào ra (xem cột G, dòng 7–17)"))</f>
        <v>Đạt: đã ghi theo kỳ</v>
      </c>
    </row>
    <row r="34" ht="16.5" customHeight="1" spans="1:7">
      <c r="A34" s="25" t="s">
        <v>104</v>
      </c>
      <c r="B34" s="25"/>
      <c r="C34" s="25"/>
      <c r="D34" s="25"/>
      <c r="E34" s="25"/>
      <c r="F34" s="25"/>
      <c r="G34" s="25"/>
    </row>
    <row r="35" ht="15" customHeight="1" spans="1:7">
      <c r="B35" s="4" t="s">
        <v>89</v>
      </c>
      <c r="C35" s="4" t="s">
        <v>105</v>
      </c>
      <c r="G35" s="4" t="s">
        <v>91</v>
      </c>
    </row>
    <row r="36" ht="15" customHeight="1" spans="1:7">
      <c r="B36" s="15" t="s">
        <v>106</v>
      </c>
    </row>
    <row r="37" ht="15" customHeight="1" spans="1:7">
      <c r="B37" s="58" t="s">
        <v>107</v>
      </c>
      <c r="C37" s="82">
        <v>921</v>
      </c>
    </row>
    <row r="38" ht="15" customHeight="1" spans="1:7">
      <c r="B38" s="58" t="s">
        <v>108</v>
      </c>
      <c r="C38" s="82">
        <v>90</v>
      </c>
    </row>
    <row r="39" ht="15" customHeight="1" spans="1:7">
      <c r="B39" s="58" t="s">
        <v>109</v>
      </c>
      <c r="C39" s="82">
        <v>360</v>
      </c>
    </row>
    <row r="40" ht="15" customHeight="1" spans="1:7">
      <c r="B40" s="58" t="s">
        <v>110</v>
      </c>
      <c r="C40" s="82">
        <v>-30</v>
      </c>
    </row>
    <row r="41" ht="15" customHeight="1" spans="1:7">
      <c r="B41" s="87" t="s">
        <v>111</v>
      </c>
      <c r="C41" s="82">
        <f>SUM(C37:C40)</f>
        <v>1341</v>
      </c>
      <c r="G41" s="64" t="str">
        <f>IF(COUNT(C37:C41)&lt;5,"Chưa điền",IF(ABS(C41-SUM(C37:C40))&lt;0.01,"Đạt","Xem lại phép cộng"))</f>
        <v>Đạt</v>
      </c>
    </row>
    <row r="42" ht="15" customHeight="1" spans="1:7">
      <c r="B42" s="15" t="s">
        <v>112</v>
      </c>
    </row>
    <row r="43" ht="15" customHeight="1" spans="1:7">
      <c r="B43" s="58" t="s">
        <v>113</v>
      </c>
      <c r="C43" s="82">
        <v>35</v>
      </c>
    </row>
    <row r="44" ht="15" customHeight="1" spans="1:7">
      <c r="B44" s="58" t="s">
        <v>114</v>
      </c>
      <c r="C44" s="82">
        <v>180</v>
      </c>
    </row>
    <row r="45" ht="15" customHeight="1" spans="1:7">
      <c r="B45" s="58" t="s">
        <v>115</v>
      </c>
      <c r="C45" s="82">
        <v>300</v>
      </c>
    </row>
    <row r="46" ht="15" customHeight="1" spans="1:7">
      <c r="B46" s="87" t="s">
        <v>116</v>
      </c>
      <c r="C46" s="82">
        <f>SUM(C43:C45)</f>
        <v>515</v>
      </c>
      <c r="G46" s="64" t="str">
        <f>IF(COUNT(C43:C46)&lt;4,"Chưa điền",IF(ABS(C46-SUM(C43:C45))&lt;0.01,"Đạt","Xem lại phép cộng"))</f>
        <v>Đạt</v>
      </c>
    </row>
    <row r="47" ht="15" customHeight="1" spans="1:7">
      <c r="B47" s="15" t="s">
        <v>117</v>
      </c>
    </row>
    <row r="48" ht="15" customHeight="1" spans="1:7">
      <c r="B48" s="58" t="s">
        <v>118</v>
      </c>
      <c r="C48" s="82">
        <v>1000</v>
      </c>
    </row>
    <row r="49" ht="15" customHeight="1" spans="1:7">
      <c r="B49" s="58" t="s">
        <v>119</v>
      </c>
      <c r="C49" s="82">
        <f>F31</f>
        <v>-174</v>
      </c>
    </row>
    <row r="50" ht="15" customHeight="1" spans="1:7">
      <c r="B50" s="87" t="s">
        <v>120</v>
      </c>
      <c r="C50" s="82">
        <f>SUM(C48:C49)</f>
        <v>826</v>
      </c>
      <c r="G50" s="64" t="str">
        <f>IF(COUNT(C48:C50)&lt;3,"Chưa điền",IF(ABS(C50-SUM(C48:C49))&lt;0.01,"Đạt","Xem lại phép cộng"))</f>
        <v>Đạt</v>
      </c>
    </row>
    <row r="51" ht="15" customHeight="1" spans="1:7">
      <c r="B51" s="58" t="s">
        <v>121</v>
      </c>
      <c r="C51" s="82">
        <f>C46+C50</f>
        <v>1341</v>
      </c>
      <c r="G51" s="64" t="str">
        <f>IF(COUNT(C46,C50,C51)&lt;3,"Chưa điền",IF(ABS(C51-(C46+C50))&lt;0.01,"Đạt","Xem lại phép cộng"))</f>
        <v>Đạt</v>
      </c>
    </row>
    <row r="52" ht="15" customHeight="1" spans="1:7">
      <c r="B52" s="87" t="s">
        <v>122</v>
      </c>
      <c r="G52" s="100" t="str">
        <f>IF(COUNT(C41,C51)&lt;2,"Chưa điền",IF(ABS(C41-C51)&lt;0.01,"Đạt: bảng đã cân","Chưa cân: tìm khoản ghi sai"))</f>
        <v>Đạt: bảng đã cân</v>
      </c>
    </row>
    <row r="53" ht="15" customHeight="1" spans="1:7">
      <c r="B53" s="87" t="s">
        <v>123</v>
      </c>
      <c r="G53" s="100" t="str">
        <f>IF(COUNT(C49,F31)&lt;2,"Chưa điền",IF(ABS(C49-F31)&lt;0.01,"Đạt","Chưa khớp bài 1"))</f>
        <v>Đạt</v>
      </c>
    </row>
    <row r="55" ht="16.5" customHeight="1" spans="1:7">
      <c r="A55" s="25" t="s">
        <v>124</v>
      </c>
      <c r="B55" s="25"/>
      <c r="C55" s="25"/>
      <c r="D55" s="25"/>
      <c r="E55" s="25"/>
      <c r="F55" s="25"/>
      <c r="G55" s="25"/>
    </row>
    <row r="56" ht="15" customHeight="1" spans="1:7">
      <c r="B56" s="4" t="s">
        <v>89</v>
      </c>
      <c r="C56" s="4" t="s">
        <v>105</v>
      </c>
      <c r="G56" s="4" t="s">
        <v>91</v>
      </c>
    </row>
    <row r="57" ht="15" customHeight="1" spans="1:7">
      <c r="B57" s="58" t="s">
        <v>101</v>
      </c>
      <c r="C57" s="82">
        <f>F31</f>
        <v>-174</v>
      </c>
    </row>
    <row r="58" ht="16.5" customHeight="1" spans="1:7">
      <c r="B58" s="101" t="s">
        <v>125</v>
      </c>
      <c r="C58" s="82">
        <v>30</v>
      </c>
    </row>
    <row r="59" ht="31.5" customHeight="1" spans="1:7">
      <c r="B59" s="101" t="s">
        <v>126</v>
      </c>
      <c r="C59" s="82">
        <v>-90</v>
      </c>
    </row>
    <row r="60" ht="31.5" customHeight="1" spans="1:7">
      <c r="B60" s="101" t="s">
        <v>127</v>
      </c>
      <c r="C60" s="82">
        <v>35</v>
      </c>
    </row>
    <row r="61" ht="16.5" customHeight="1" spans="1:7">
      <c r="B61" s="101" t="s">
        <v>128</v>
      </c>
      <c r="C61" s="82">
        <v>180</v>
      </c>
    </row>
    <row r="62" ht="15" customHeight="1" spans="1:7">
      <c r="B62" s="87" t="s">
        <v>129</v>
      </c>
      <c r="C62" s="82">
        <f>SUM(C57:C61)</f>
        <v>-19</v>
      </c>
      <c r="G62" s="64" t="str">
        <f>IF(COUNT(C57:C62)&lt;6,"Chưa điền",IF(ABS(C62-SUM(C57:C61))&lt;0.01,"Đạt","Xem lại phép cộng"))</f>
        <v>Đạt</v>
      </c>
    </row>
    <row r="63" ht="15" customHeight="1" spans="1:7">
      <c r="B63" s="58" t="s">
        <v>130</v>
      </c>
      <c r="C63" s="82">
        <v>-360</v>
      </c>
    </row>
    <row r="64" ht="15" customHeight="1" spans="1:7">
      <c r="B64" s="87" t="s">
        <v>131</v>
      </c>
      <c r="C64" s="82">
        <f>C63</f>
        <v>-360</v>
      </c>
      <c r="G64" s="64" t="str">
        <f>IF(COUNT(C63:C64)&lt;2,"Chưa điền",IF(ABS(C64-SUM(C63:C63))&lt;0.01,"Đạt","Xem lại phép cộng"))</f>
        <v>Đạt</v>
      </c>
    </row>
    <row r="65" ht="15" customHeight="1" spans="1:7">
      <c r="B65" s="58" t="s">
        <v>132</v>
      </c>
      <c r="C65" s="82">
        <v>1000</v>
      </c>
    </row>
    <row r="66" ht="15" customHeight="1" spans="1:7">
      <c r="B66" s="58" t="s">
        <v>133</v>
      </c>
      <c r="C66" s="82">
        <v>300</v>
      </c>
    </row>
    <row r="67" ht="15" customHeight="1" spans="1:7">
      <c r="B67" s="87" t="s">
        <v>134</v>
      </c>
      <c r="C67" s="82">
        <f>SUM(C65:C66)</f>
        <v>1300</v>
      </c>
      <c r="G67" s="64" t="str">
        <f>IF(COUNT(C65:C67)&lt;3,"Chưa điền",IF(ABS(C67-SUM(C65:C66))&lt;0.01,"Đạt","Xem lại phép cộng"))</f>
        <v>Đạt</v>
      </c>
    </row>
    <row r="68" ht="15" customHeight="1" spans="1:7">
      <c r="B68" s="87" t="s">
        <v>135</v>
      </c>
      <c r="C68" s="82">
        <f>C62+C64+C67</f>
        <v>921</v>
      </c>
      <c r="G68" s="64" t="str">
        <f>IF(COUNT(C62,C64,C67,C68)&lt;4,"Chưa điền",IF(ABS(C68-(C62+C64+C67))&lt;0.01,"Đạt","Xem lại phép cộng"))</f>
        <v>Đạt</v>
      </c>
    </row>
    <row r="69" ht="15" customHeight="1" spans="1:7">
      <c r="B69" s="58" t="s">
        <v>136</v>
      </c>
      <c r="C69" s="102">
        <v>0</v>
      </c>
    </row>
    <row r="70" ht="15" customHeight="1" spans="1:7">
      <c r="B70" s="87" t="s">
        <v>137</v>
      </c>
      <c r="C70" s="82">
        <f>C68+C69</f>
        <v>921</v>
      </c>
      <c r="G70" s="64" t="str">
        <f>IF(COUNT(C68:C70)&lt;3,"Chưa điền",IF(ABS(C70-(C68+C69))&lt;0.01,"Đạt","Xem lại phép cộng"))</f>
        <v>Đạt</v>
      </c>
    </row>
    <row r="71" ht="31.5" customHeight="1" spans="1:7">
      <c r="B71" s="87" t="s">
        <v>138</v>
      </c>
      <c r="G71" s="99" t="str">
        <f>IF(COUNT(C70,C37)&lt;2,"Chưa điền",IF(ABS(C70-C37)&lt;0.01,"Đạt: ba báo cáo đã khớp","Chưa khớp: soát dấu +/− ở dòng 58–66, rồi soát dòng Tiền ở bảng cân đối"))</f>
        <v>Đạt: ba báo cáo đã khớp</v>
      </c>
    </row>
    <row r="72" ht="15" customHeight="1" spans="1:7">
      <c r="B72" s="87" t="s">
        <v>139</v>
      </c>
      <c r="G72" s="100" t="str">
        <f>IF(COUNT(C57,F31)&lt;2,"Chưa điền",IF(ABS(C57-F31)&lt;0.01,"Đạt","Chưa khớp bài 1"))</f>
        <v>Đạt</v>
      </c>
    </row>
    <row r="74" ht="15" customHeight="1" spans="1:7">
      <c r="A74" s="15" t="s">
        <v>140</v>
      </c>
    </row>
    <row r="75" ht="48" customHeight="1" spans="1:7">
      <c r="B75" s="101" t="s">
        <v>141</v>
      </c>
      <c r="C75" s="27" t="s">
        <v>142</v>
      </c>
      <c r="D75" s="27"/>
      <c r="E75" s="27"/>
      <c r="F75" s="27"/>
      <c r="G75" s="27"/>
    </row>
    <row r="76" ht="48" customHeight="1" spans="1:7">
      <c r="B76" s="101" t="s">
        <v>143</v>
      </c>
      <c r="C76" s="27" t="s">
        <v>144</v>
      </c>
      <c r="D76" s="27"/>
      <c r="E76" s="27"/>
      <c r="F76" s="27"/>
      <c r="G76" s="27"/>
    </row>
    <row r="77" ht="48" customHeight="1" spans="1:7">
      <c r="B77" s="101" t="s">
        <v>145</v>
      </c>
      <c r="C77" s="27" t="s">
        <v>146</v>
      </c>
      <c r="D77" s="27"/>
      <c r="E77" s="27"/>
      <c r="F77" s="27"/>
      <c r="G77" s="27"/>
    </row>
    <row r="78" ht="48" customHeight="1" spans="1:7">
      <c r="B78" s="101" t="s">
        <v>147</v>
      </c>
      <c r="C78" s="27" t="s">
        <v>148</v>
      </c>
      <c r="D78" s="27"/>
      <c r="E78" s="27"/>
      <c r="F78" s="27"/>
      <c r="G78" s="27"/>
    </row>
    <row r="80" ht="15" customHeight="1" spans="1:7">
      <c r="A80" s="15" t="s">
        <v>149</v>
      </c>
    </row>
    <row r="81" ht="31.5" customHeight="1" spans="2:7">
      <c r="B81" s="88" t="s">
        <v>150</v>
      </c>
      <c r="C81" s="88"/>
      <c r="D81" s="88"/>
      <c r="E81" s="88"/>
      <c r="F81" s="88"/>
      <c r="G81" s="88"/>
    </row>
    <row r="82" ht="15" customHeight="1" spans="2:7">
      <c r="B82" s="58" t="s">
        <v>151</v>
      </c>
      <c r="C82" s="102">
        <v>360</v>
      </c>
    </row>
    <row r="83" ht="15" customHeight="1" spans="2:7">
      <c r="B83" s="58" t="s">
        <v>152</v>
      </c>
      <c r="C83" s="102">
        <v>12</v>
      </c>
    </row>
    <row r="84" ht="15" customHeight="1" spans="2:7">
      <c r="B84" s="58" t="s">
        <v>153</v>
      </c>
      <c r="C84" s="102">
        <v>36</v>
      </c>
    </row>
    <row r="85" ht="15" customHeight="1" spans="2:7">
      <c r="B85" s="58" t="s">
        <v>154</v>
      </c>
      <c r="C85" s="103">
        <v>0.15</v>
      </c>
    </row>
    <row r="86" ht="46.5" customHeight="1" spans="2:7">
      <c r="B86" s="101" t="s">
        <v>155</v>
      </c>
      <c r="C86" s="104">
        <f>PV(C85/12,C84,-C83)</f>
        <v>346.167208499066</v>
      </c>
      <c r="G86" s="64" t="str">
        <f>IF(C86="","Chưa điền",IF(ABS(C86-PV(C85/12,C84,-C83))&lt;1,"Đạt","Xem lại"))</f>
        <v>Đạt</v>
      </c>
    </row>
    <row r="87" ht="15" customHeight="1" spans="2:7">
      <c r="B87" s="58" t="s">
        <v>156</v>
      </c>
      <c r="C87" s="83" t="str">
        <f>IF(C86&lt;C82,"Thuê","Mua")</f>
        <v>Thuê</v>
      </c>
      <c r="G87" s="64" t="str">
        <f>IF(C87="","Chưa điền",IF(C87=IF(PV(C85/12,C84,-C83)&lt;C82,"Thuê","Mua"),"Đạt","Xem lại"))</f>
        <v>Đạt</v>
      </c>
    </row>
    <row r="88" ht="31.5" customHeight="1" spans="2:7">
      <c r="B88" s="101" t="s">
        <v>157</v>
      </c>
      <c r="C88" s="104">
        <f>PV(8%/12,C84,-C83)</f>
        <v>382.941666121734</v>
      </c>
      <c r="G88" s="64" t="str">
        <f>IF(C88="","Chưa điền",IF(ABS(C88-PV(0.08/12,C84,-C83))&lt;1,"Đạt","Xem lại"))</f>
        <v>Đạt</v>
      </c>
    </row>
    <row r="89" ht="15" customHeight="1" spans="2:7">
      <c r="B89" s="58" t="s">
        <v>158</v>
      </c>
      <c r="C89" s="83" t="str">
        <f>IF(C88&lt;C82,"Thuê","Mua")</f>
        <v>Mua</v>
      </c>
      <c r="G89" s="64" t="str">
        <f>IF(C89="","Chưa điền",IF(C89=IF(PV(0.08/12,C84,-C83)&lt;C82,"Thuê","Mua"),"Đạt","Xem lại"))</f>
        <v>Đạt</v>
      </c>
    </row>
  </sheetData>
  <mergeCells count="9">
    <mergeCell ref="A3:G3"/>
    <mergeCell ref="A19:G19"/>
    <mergeCell ref="A34:G34"/>
    <mergeCell ref="A55:G55"/>
    <mergeCell ref="C75:G75"/>
    <mergeCell ref="C76:G76"/>
    <mergeCell ref="C77:G77"/>
    <mergeCell ref="C78:G78"/>
    <mergeCell ref="B81:G81"/>
  </mergeCells>
  <dataValidations count="1">
    <dataValidation type="list" allowBlank="1" sqref="C87 C89">
      <formula1>"Mua,Thuê"</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7"/>
  <sheetViews>
    <sheetView workbookViewId="0">
      <selection activeCell="A1" sqref="A1"/>
    </sheetView>
  </sheetViews>
  <sheetFormatPr defaultColWidth="8.67592592592593" defaultRowHeight="14.4" outlineLevelCol="4"/>
  <cols>
    <col min="1" max="1" width="48" style="1" customWidth="1"/>
    <col min="2" max="2" width="22" style="1" customWidth="1"/>
    <col min="3" max="3" width="18" style="1" customWidth="1"/>
    <col min="4" max="4" width="60" style="1" customWidth="1"/>
    <col min="5" max="5" width="64" style="1" customWidth="1"/>
  </cols>
  <sheetData>
    <row r="1" ht="17.25" customHeight="1" spans="1:5">
      <c r="A1" s="10" t="s">
        <v>159</v>
      </c>
    </row>
    <row r="2" ht="15" customHeight="1" spans="1:5">
      <c r="A2" s="11" t="s">
        <v>160</v>
      </c>
    </row>
    <row r="3" ht="31.5" customHeight="1" spans="1:5">
      <c r="A3" s="89" t="s">
        <v>161</v>
      </c>
      <c r="B3" s="89"/>
      <c r="C3" s="89"/>
      <c r="D3" s="89"/>
      <c r="E3" s="89"/>
    </row>
    <row r="4" ht="15" customHeight="1" spans="1:5">
      <c r="A4" s="4" t="s">
        <v>162</v>
      </c>
      <c r="B4" s="4" t="s">
        <v>163</v>
      </c>
      <c r="C4" s="4" t="s">
        <v>164</v>
      </c>
      <c r="D4" s="4" t="s">
        <v>165</v>
      </c>
      <c r="E4" s="4" t="s">
        <v>166</v>
      </c>
    </row>
    <row r="5" ht="30" customHeight="1" spans="1:5">
      <c r="A5" s="29" t="s">
        <v>167</v>
      </c>
      <c r="B5" s="90" t="s">
        <v>168</v>
      </c>
      <c r="C5" s="31"/>
      <c r="D5" s="91" t="s">
        <v>169</v>
      </c>
      <c r="E5" s="33" t="s">
        <v>170</v>
      </c>
    </row>
    <row r="6" ht="30" customHeight="1" spans="1:5">
      <c r="A6" s="29" t="s">
        <v>171</v>
      </c>
      <c r="B6" s="92">
        <v>1</v>
      </c>
      <c r="C6" s="31" t="s">
        <v>172</v>
      </c>
      <c r="D6" s="91" t="s">
        <v>169</v>
      </c>
      <c r="E6" s="33" t="s">
        <v>173</v>
      </c>
    </row>
    <row r="7" ht="43.5" customHeight="1" spans="1:5">
      <c r="A7" s="29" t="s">
        <v>174</v>
      </c>
      <c r="B7" s="92">
        <v>1200</v>
      </c>
      <c r="C7" s="31" t="s">
        <v>175</v>
      </c>
      <c r="D7" s="91" t="s">
        <v>169</v>
      </c>
      <c r="E7" s="33" t="s">
        <v>176</v>
      </c>
    </row>
    <row r="8" ht="15.75" customHeight="1" spans="1:5">
      <c r="A8" s="29" t="s">
        <v>177</v>
      </c>
      <c r="B8" s="92">
        <v>400</v>
      </c>
      <c r="C8" s="31" t="s">
        <v>175</v>
      </c>
      <c r="D8" s="91" t="s">
        <v>169</v>
      </c>
      <c r="E8" s="33" t="s">
        <v>178</v>
      </c>
    </row>
    <row r="9" ht="43.5" customHeight="1" spans="1:5">
      <c r="A9" s="29" t="s">
        <v>179</v>
      </c>
      <c r="B9" s="92">
        <v>0.1</v>
      </c>
      <c r="C9" s="31" t="s">
        <v>180</v>
      </c>
      <c r="D9" s="91" t="s">
        <v>181</v>
      </c>
      <c r="E9" s="33" t="s">
        <v>182</v>
      </c>
    </row>
    <row r="10" ht="30" customHeight="1" spans="1:5">
      <c r="A10" s="29" t="s">
        <v>183</v>
      </c>
      <c r="B10" s="92">
        <v>0.5</v>
      </c>
      <c r="C10" s="31" t="s">
        <v>180</v>
      </c>
      <c r="D10" s="91" t="s">
        <v>181</v>
      </c>
      <c r="E10" s="33" t="s">
        <v>184</v>
      </c>
    </row>
    <row r="11" ht="30" customHeight="1" spans="1:5">
      <c r="A11" s="29" t="s">
        <v>185</v>
      </c>
      <c r="B11" s="92">
        <v>26170</v>
      </c>
      <c r="C11" s="31" t="s">
        <v>186</v>
      </c>
      <c r="D11" s="91" t="s">
        <v>181</v>
      </c>
      <c r="E11" s="33" t="s">
        <v>187</v>
      </c>
    </row>
    <row r="12" ht="30" customHeight="1" spans="1:5">
      <c r="A12" s="29" t="s">
        <v>188</v>
      </c>
      <c r="B12" s="35">
        <v>0.05</v>
      </c>
      <c r="C12" s="31" t="s">
        <v>189</v>
      </c>
      <c r="D12" s="91" t="s">
        <v>169</v>
      </c>
      <c r="E12" s="33" t="s">
        <v>190</v>
      </c>
    </row>
    <row r="13" ht="43.5" customHeight="1" spans="1:5">
      <c r="A13" s="29" t="s">
        <v>191</v>
      </c>
      <c r="B13" s="92">
        <v>20</v>
      </c>
      <c r="C13" s="31" t="s">
        <v>192</v>
      </c>
      <c r="D13" s="91" t="s">
        <v>169</v>
      </c>
      <c r="E13" s="33" t="s">
        <v>193</v>
      </c>
    </row>
    <row r="14" ht="30" customHeight="1" spans="1:5">
      <c r="A14" s="29" t="s">
        <v>194</v>
      </c>
      <c r="B14" s="35">
        <v>0.02</v>
      </c>
      <c r="C14" s="31" t="s">
        <v>189</v>
      </c>
      <c r="D14" s="91" t="s">
        <v>169</v>
      </c>
      <c r="E14" s="33" t="s">
        <v>195</v>
      </c>
    </row>
    <row r="15" ht="15.75" customHeight="1" spans="1:5">
      <c r="A15" s="29" t="s">
        <v>196</v>
      </c>
      <c r="B15" s="92">
        <v>1</v>
      </c>
      <c r="C15" s="31" t="s">
        <v>197</v>
      </c>
      <c r="D15" s="91" t="s">
        <v>169</v>
      </c>
      <c r="E15" s="33" t="s">
        <v>198</v>
      </c>
    </row>
    <row r="16" ht="30" customHeight="1" spans="1:5">
      <c r="A16" s="29" t="s">
        <v>199</v>
      </c>
      <c r="B16" s="92">
        <v>40000</v>
      </c>
      <c r="C16" s="31" t="s">
        <v>200</v>
      </c>
      <c r="D16" s="91" t="s">
        <v>169</v>
      </c>
      <c r="E16" s="33" t="s">
        <v>201</v>
      </c>
    </row>
    <row r="17" ht="30" customHeight="1" spans="1:5">
      <c r="A17" s="29" t="s">
        <v>202</v>
      </c>
      <c r="B17" s="92">
        <v>5</v>
      </c>
      <c r="C17" s="31" t="s">
        <v>192</v>
      </c>
      <c r="D17" s="91" t="s">
        <v>169</v>
      </c>
      <c r="E17" s="33" t="s">
        <v>203</v>
      </c>
    </row>
    <row r="18" ht="15.75" customHeight="1" spans="1:5">
      <c r="A18" s="29" t="s">
        <v>204</v>
      </c>
      <c r="B18" s="92">
        <v>5</v>
      </c>
      <c r="C18" s="31" t="s">
        <v>192</v>
      </c>
      <c r="D18" s="91" t="s">
        <v>169</v>
      </c>
      <c r="E18" s="33" t="s">
        <v>205</v>
      </c>
    </row>
    <row r="20" ht="15" customHeight="1" spans="1:5">
      <c r="A20" s="15" t="s">
        <v>206</v>
      </c>
    </row>
    <row r="21" ht="15" customHeight="1" spans="1:5">
      <c r="A21" s="12" t="s">
        <v>207</v>
      </c>
      <c r="B21" s="23">
        <f>IFERROR(B6*(B7*B9+B8*B10)/1000000*B11*(1+B12),0)</f>
        <v>8.79312</v>
      </c>
    </row>
    <row r="22" ht="15" customHeight="1" spans="1:5">
      <c r="A22" s="12" t="s">
        <v>208</v>
      </c>
      <c r="B22" s="23">
        <f>IFERROR(B14*B15/60*B16,0)</f>
        <v>13.3333333333333</v>
      </c>
    </row>
    <row r="23" ht="15" customHeight="1" spans="1:5">
      <c r="A23" s="12" t="s">
        <v>209</v>
      </c>
      <c r="B23" s="23">
        <f>B13+B17+B18</f>
        <v>30</v>
      </c>
    </row>
    <row r="24" ht="15.75" customHeight="1" spans="1:5">
      <c r="A24" s="12" t="s">
        <v>210</v>
      </c>
      <c r="B24" s="38">
        <f>B21+B22+B23</f>
        <v>52.1264533333333</v>
      </c>
      <c r="E24" s="75" t="s">
        <v>211</v>
      </c>
    </row>
    <row r="25" ht="15" customHeight="1" spans="1:5">
      <c r="A25" s="12" t="s">
        <v>212</v>
      </c>
      <c r="B25" s="19">
        <f>IFERROR((B24-B21)/B21,0)</f>
        <v>4.92809529874872</v>
      </c>
      <c r="C25" s="3" t="s">
        <v>213</v>
      </c>
    </row>
    <row r="26" ht="15" customHeight="1" spans="1:5">
      <c r="A26" s="12" t="s">
        <v>214</v>
      </c>
      <c r="B26" s="23">
        <f>3*B24</f>
        <v>156.37936</v>
      </c>
      <c r="C26" s="3" t="s">
        <v>215</v>
      </c>
    </row>
    <row r="27" ht="15" customHeight="1" spans="1:5">
      <c r="A27" s="12" t="s">
        <v>216</v>
      </c>
      <c r="B27" s="23">
        <f>B24/(1-0.6)</f>
        <v>130.316133333333</v>
      </c>
      <c r="C27" s="3" t="s">
        <v>217</v>
      </c>
    </row>
  </sheetData>
  <mergeCells count="1">
    <mergeCell ref="A3:E3"/>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0"/>
  <sheetViews>
    <sheetView workbookViewId="0">
      <selection activeCell="A1" sqref="A1"/>
    </sheetView>
  </sheetViews>
  <sheetFormatPr defaultColWidth="8.67592592592593" defaultRowHeight="14.4"/>
  <cols>
    <col min="1" max="1" width="44" style="1" customWidth="1"/>
    <col min="2" max="3" width="30" style="1" customWidth="1"/>
    <col min="4" max="4" width="22" style="1" customWidth="1"/>
    <col min="5" max="5" width="20" style="1" customWidth="1"/>
    <col min="6" max="6" width="18" style="1" customWidth="1"/>
    <col min="7" max="7" width="22" style="1" customWidth="1"/>
    <col min="8" max="8" width="20" style="1" customWidth="1"/>
    <col min="9" max="9" width="46" style="1" customWidth="1"/>
  </cols>
  <sheetData>
    <row r="1" ht="17.25" customHeight="1" spans="1:9">
      <c r="A1" s="10" t="s">
        <v>218</v>
      </c>
    </row>
    <row r="2" ht="15" customHeight="1" spans="1:9">
      <c r="A2" s="11" t="s">
        <v>219</v>
      </c>
    </row>
    <row r="4" ht="15" customHeight="1" spans="1:9">
      <c r="A4" s="4" t="s">
        <v>220</v>
      </c>
      <c r="B4" s="4" t="s">
        <v>163</v>
      </c>
      <c r="C4" s="4" t="s">
        <v>58</v>
      </c>
      <c r="D4" s="4" t="s">
        <v>165</v>
      </c>
    </row>
    <row r="5" ht="48" customHeight="1" spans="1:9">
      <c r="A5" s="43" t="s">
        <v>221</v>
      </c>
      <c r="B5" s="76" t="s">
        <v>222</v>
      </c>
      <c r="C5" s="13" t="s">
        <v>223</v>
      </c>
      <c r="D5" s="77" t="s">
        <v>224</v>
      </c>
    </row>
    <row r="6" ht="63" customHeight="1" spans="1:9">
      <c r="A6" s="43" t="s">
        <v>225</v>
      </c>
      <c r="B6" s="76" t="s">
        <v>226</v>
      </c>
      <c r="C6" s="13" t="s">
        <v>227</v>
      </c>
      <c r="D6" s="77" t="s">
        <v>224</v>
      </c>
    </row>
    <row r="7" ht="48" customHeight="1" spans="1:9">
      <c r="A7" s="43" t="s">
        <v>228</v>
      </c>
      <c r="B7" s="76" t="s">
        <v>229</v>
      </c>
      <c r="D7" s="77" t="s">
        <v>224</v>
      </c>
    </row>
    <row r="8" ht="48" customHeight="1" spans="1:9">
      <c r="A8" s="43" t="s">
        <v>230</v>
      </c>
      <c r="B8" s="76" t="s">
        <v>231</v>
      </c>
      <c r="C8" s="13" t="s">
        <v>232</v>
      </c>
      <c r="D8" s="77" t="s">
        <v>224</v>
      </c>
    </row>
    <row r="9" ht="15" customHeight="1" spans="1:9">
      <c r="A9" s="12" t="s">
        <v>233</v>
      </c>
      <c r="B9" s="78">
        <v>99000</v>
      </c>
      <c r="C9" s="1" t="s">
        <v>192</v>
      </c>
      <c r="D9" s="77" t="s">
        <v>224</v>
      </c>
    </row>
    <row r="10" ht="15" customHeight="1" spans="1:9">
      <c r="A10" s="12" t="s">
        <v>234</v>
      </c>
      <c r="B10" s="78">
        <v>300</v>
      </c>
      <c r="C10" s="1" t="s">
        <v>235</v>
      </c>
      <c r="D10" s="77" t="s">
        <v>224</v>
      </c>
    </row>
    <row r="11" ht="15" customHeight="1" spans="1:9">
      <c r="A11" s="12" t="s">
        <v>236</v>
      </c>
      <c r="B11" s="78">
        <v>300</v>
      </c>
      <c r="C11" s="1" t="s">
        <v>237</v>
      </c>
      <c r="D11" s="77" t="s">
        <v>224</v>
      </c>
    </row>
    <row r="12" ht="31.5" customHeight="1" spans="1:9">
      <c r="A12" s="43" t="s">
        <v>238</v>
      </c>
      <c r="B12" s="78">
        <v>99000</v>
      </c>
      <c r="C12" s="1" t="s">
        <v>239</v>
      </c>
      <c r="D12" s="77" t="s">
        <v>224</v>
      </c>
    </row>
    <row r="14" ht="46.5" customHeight="1" spans="1:9">
      <c r="A14" s="4" t="s">
        <v>240</v>
      </c>
      <c r="B14" s="56" t="s">
        <v>241</v>
      </c>
      <c r="C14" s="56" t="s">
        <v>242</v>
      </c>
      <c r="D14" s="4" t="s">
        <v>243</v>
      </c>
      <c r="E14" s="56" t="s">
        <v>244</v>
      </c>
      <c r="F14" s="4" t="s">
        <v>245</v>
      </c>
      <c r="G14" s="4" t="s">
        <v>246</v>
      </c>
      <c r="H14" s="4" t="s">
        <v>247</v>
      </c>
      <c r="I14" s="4" t="s">
        <v>165</v>
      </c>
    </row>
    <row r="15" ht="15" customHeight="1" spans="1:9">
      <c r="A15" s="12" t="s">
        <v>248</v>
      </c>
      <c r="B15" s="79">
        <v>0.85</v>
      </c>
      <c r="C15" s="80">
        <v>120</v>
      </c>
      <c r="D15" s="23">
        <f>B9+MAX(0,C15-B10)*B11</f>
        <v>99000</v>
      </c>
      <c r="E15" s="23">
        <f>C15*'1_Chi phí mỗi việc'!B24</f>
        <v>6255.1744</v>
      </c>
      <c r="F15" s="19">
        <f>IFERROR((D15-E15)/D15,0)</f>
        <v>0.93681642020202</v>
      </c>
      <c r="G15" s="23">
        <f>B12</f>
        <v>99000</v>
      </c>
      <c r="H15" s="19">
        <f>IFERROR((G15-E15)/G15,0)</f>
        <v>0.93681642020202</v>
      </c>
      <c r="I15" s="77" t="s">
        <v>249</v>
      </c>
    </row>
    <row r="16" ht="15" customHeight="1" spans="1:9">
      <c r="A16" s="12" t="s">
        <v>250</v>
      </c>
      <c r="B16" s="79">
        <v>0.15</v>
      </c>
      <c r="C16" s="80">
        <v>1200</v>
      </c>
      <c r="D16" s="23">
        <f>B9+MAX(0,C16-B10)*B11</f>
        <v>369000</v>
      </c>
      <c r="E16" s="23">
        <f>C16*'1_Chi phí mỗi việc'!B24</f>
        <v>62551.744</v>
      </c>
      <c r="F16" s="19">
        <f>IFERROR((D16-E16)/D16,0)</f>
        <v>0.830483078590786</v>
      </c>
      <c r="G16" s="23">
        <f>B12</f>
        <v>99000</v>
      </c>
      <c r="H16" s="19">
        <f>IFERROR((G16-E16)/G16,0)</f>
        <v>0.368164202020202</v>
      </c>
      <c r="I16" s="77" t="s">
        <v>249</v>
      </c>
    </row>
    <row r="17" ht="15" customHeight="1" spans="1:8">
      <c r="A17" s="15" t="s">
        <v>251</v>
      </c>
      <c r="B17" s="19">
        <f>B15+B16</f>
        <v>1</v>
      </c>
      <c r="C17" s="44">
        <f>SUMPRODUCT(B15:B16,C15:C16)</f>
        <v>282</v>
      </c>
      <c r="D17" s="38">
        <f>SUMPRODUCT($B15:$B16,D15:D16)</f>
        <v>139500</v>
      </c>
      <c r="E17" s="38">
        <f>SUMPRODUCT($B15:$B16,E15:E16)</f>
        <v>14699.65984</v>
      </c>
      <c r="F17" s="81">
        <f>IFERROR((D17-E17)/D17,0)</f>
        <v>0.894626094336918</v>
      </c>
      <c r="G17" s="38">
        <f>SUMPRODUCT($B15:$B16,G15:G16)</f>
        <v>99000</v>
      </c>
      <c r="H17" s="81">
        <f>IFERROR((G17-E17)/G17,0)</f>
        <v>0.851518587474747</v>
      </c>
    </row>
    <row r="18" ht="15" customHeight="1" spans="1:8">
      <c r="A18" s="1" t="s">
        <v>252</v>
      </c>
      <c r="B18" s="16" t="str">
        <f>IF(B17=0,"Chưa điền",IF(ABS(B17-1)&lt;0.001,"Đạt","Sai: tổng khác 100%"))</f>
        <v>Đạt</v>
      </c>
    </row>
    <row r="19" ht="15" customHeight="1" spans="1:8">
      <c r="A19" s="1" t="s">
        <v>253</v>
      </c>
      <c r="B19" s="16" t="str">
        <f>IF(B11=0,"Chưa điền",IF(B11&gt;='1_Chi phí mỗi việc'!B26,"Đạt","Thấp hơn giá sàn"))</f>
        <v>Đạt</v>
      </c>
    </row>
    <row r="21" ht="15" customHeight="1" spans="1:8">
      <c r="A21" s="1" t="s">
        <v>254</v>
      </c>
      <c r="B21" s="81">
        <f>IFERROR(B16*D16/D17,0)</f>
        <v>0.396774193548387</v>
      </c>
    </row>
    <row r="22" ht="15" customHeight="1" spans="1:8">
      <c r="A22" s="1" t="s">
        <v>255</v>
      </c>
      <c r="B22" s="81">
        <f>IFERROR(B16*MAX(0,C16-B10)*B11/D17,0)</f>
        <v>0.290322580645161</v>
      </c>
    </row>
    <row r="23" ht="15" customHeight="1" spans="1:8">
      <c r="A23" s="1" t="s">
        <v>256</v>
      </c>
      <c r="B23" s="16" t="str">
        <f>IF(D17=0,"Chưa điền",IF(B21&gt;0.5,"Trên 50% doanh thu đến từ khách dùng nhiều: xem tình huống đặc biệt ở trang 5","Đạt"))</f>
        <v>Đạt</v>
      </c>
    </row>
    <row r="25" ht="15" customHeight="1" spans="1:8">
      <c r="A25" s="15" t="s">
        <v>257</v>
      </c>
    </row>
    <row r="26" ht="15" customHeight="1" spans="1:8">
      <c r="A26" s="58" t="s">
        <v>258</v>
      </c>
      <c r="B26" s="82">
        <v>3000000</v>
      </c>
      <c r="C26" s="58" t="s">
        <v>239</v>
      </c>
      <c r="D26" s="83" t="s">
        <v>224</v>
      </c>
    </row>
    <row r="27" ht="15" customHeight="1" spans="1:8">
      <c r="A27" s="58" t="s">
        <v>259</v>
      </c>
      <c r="B27" s="84">
        <v>0</v>
      </c>
      <c r="C27" s="58" t="s">
        <v>260</v>
      </c>
      <c r="D27" s="83" t="s">
        <v>224</v>
      </c>
    </row>
    <row r="28" ht="45" customHeight="1" spans="1:8">
      <c r="A28" s="4" t="s">
        <v>240</v>
      </c>
      <c r="B28" s="4" t="s">
        <v>261</v>
      </c>
      <c r="C28" s="4" t="s">
        <v>262</v>
      </c>
      <c r="D28" s="4" t="s">
        <v>263</v>
      </c>
      <c r="E28" s="4" t="s">
        <v>264</v>
      </c>
      <c r="F28" s="4" t="s">
        <v>265</v>
      </c>
    </row>
    <row r="29" ht="30" customHeight="1" spans="1:8">
      <c r="A29" s="58" t="s">
        <v>248</v>
      </c>
      <c r="B29" s="59">
        <f>D15</f>
        <v>99000</v>
      </c>
      <c r="C29" s="61">
        <f>IFERROR(B29/$B$26,"")</f>
        <v>0.033</v>
      </c>
      <c r="D29" s="85" t="str">
        <f>IF(C29="","",IF(C29&lt;0.5,"Dưới 50%: còn dư địa",IF(C29&lt;=0.7,"Trong vùng 50–70%","Trên 70%: khách thà thuê người? Xem dòng 34")))</f>
        <v>Dưới 50%: còn dư địa</v>
      </c>
      <c r="E29" s="86">
        <f>IFERROR(E15/B29,"")</f>
        <v>0.0631835797979798</v>
      </c>
      <c r="F29" s="64" t="str">
        <f>IF(E29="","",IF(E29&lt;0.3,"Ổn (dưới 0,3)",IF(E29&lt;=0.6,"Đáng lo (0,3–0,6)","Nguy (trên 0,6)")))</f>
        <v>Ổn (dưới 0,3)</v>
      </c>
    </row>
    <row r="30" ht="30" customHeight="1" spans="1:8">
      <c r="A30" s="58" t="s">
        <v>266</v>
      </c>
      <c r="B30" s="59">
        <f>D16</f>
        <v>369000</v>
      </c>
      <c r="C30" s="61">
        <f>IFERROR(B30/$B$26,"")</f>
        <v>0.123</v>
      </c>
      <c r="D30" s="85" t="str">
        <f>IF(C30="","",IF(C30&lt;0.5,"Dưới 50%: còn dư địa",IF(C30&lt;=0.7,"Trong vùng 50–70%","Trên 70%: khách thà thuê người? Xem dòng 34")))</f>
        <v>Dưới 50%: còn dư địa</v>
      </c>
      <c r="E30" s="86">
        <f>IFERROR(E16/B30,"")</f>
        <v>0.169516921409214</v>
      </c>
      <c r="F30" s="64" t="str">
        <f>IF(E30="","",IF(E30&lt;0.3,"Ổn (dưới 0,3)",IF(E30&lt;=0.6,"Đáng lo (0,3–0,6)","Nguy (trên 0,6)")))</f>
        <v>Ổn (dưới 0,3)</v>
      </c>
    </row>
    <row r="31" ht="30" customHeight="1" spans="1:8">
      <c r="A31" s="58" t="s">
        <v>267</v>
      </c>
      <c r="B31" s="59">
        <f>G16</f>
        <v>99000</v>
      </c>
      <c r="C31" s="61">
        <f>IFERROR(B31/$B$26,"")</f>
        <v>0.033</v>
      </c>
      <c r="D31" s="85" t="str">
        <f>IF(C31="","",IF(C31&lt;0.5,"Dưới 50%: còn dư địa",IF(C31&lt;=0.7,"Trong vùng 50–70%","Trên 70%: khách thà thuê người? Xem dòng 34")))</f>
        <v>Dưới 50%: còn dư địa</v>
      </c>
      <c r="E31" s="86">
        <f>IFERROR(E16/B31,"")</f>
        <v>0.631835797979798</v>
      </c>
      <c r="F31" s="64" t="str">
        <f>IF(E31="","",IF(E31&lt;0.3,"Ổn (dưới 0,3)",IF(E31&lt;=0.6,"Đáng lo (0,3–0,6)","Nguy (trên 0,6)")))</f>
        <v>Nguy (trên 0,6)</v>
      </c>
    </row>
    <row r="32" ht="15" customHeight="1" spans="1:8">
      <c r="A32" s="87" t="s">
        <v>268</v>
      </c>
      <c r="B32" s="63">
        <f>IFERROR((D17*(1-B27)-E17)/D17,"")</f>
        <v>0.894626094336918</v>
      </c>
      <c r="C32" s="64" t="str">
        <f>IF(B32="","",IF(B32&gt;0.5,"Ổn",IF(B32&gt;=0.35,"Đáng lo","Nguy")))</f>
        <v>Ổn</v>
      </c>
      <c r="D32" s="3" t="s">
        <v>269</v>
      </c>
    </row>
    <row r="33" ht="30" customHeight="1" spans="1:9">
      <c r="A33" s="88" t="s">
        <v>270</v>
      </c>
      <c r="B33" s="88"/>
      <c r="C33" s="88"/>
      <c r="D33" s="88"/>
      <c r="E33" s="88"/>
      <c r="F33" s="88"/>
      <c r="G33" s="88"/>
      <c r="H33" s="88"/>
      <c r="I33" s="88"/>
    </row>
    <row r="34" ht="30" customHeight="1" spans="1:9">
      <c r="A34" s="88" t="s">
        <v>271</v>
      </c>
      <c r="B34" s="88"/>
      <c r="C34" s="88"/>
      <c r="D34" s="88"/>
      <c r="E34" s="88"/>
      <c r="F34" s="88"/>
      <c r="G34" s="88"/>
      <c r="H34" s="88"/>
      <c r="I34" s="88"/>
    </row>
    <row r="35" ht="15" customHeight="1" spans="1:9">
      <c r="A35" s="15" t="s">
        <v>272</v>
      </c>
    </row>
    <row r="36" ht="15" customHeight="1" spans="1:9">
      <c r="A36" s="58" t="s">
        <v>273</v>
      </c>
      <c r="B36" s="88" t="s">
        <v>274</v>
      </c>
      <c r="C36" s="88"/>
      <c r="D36" s="88"/>
      <c r="E36" s="88"/>
      <c r="F36" s="88"/>
      <c r="G36" s="88"/>
      <c r="H36" s="88"/>
      <c r="I36" s="88"/>
    </row>
    <row r="37" ht="30" customHeight="1" spans="1:9">
      <c r="A37" s="58" t="s">
        <v>275</v>
      </c>
      <c r="B37" s="88" t="s">
        <v>276</v>
      </c>
      <c r="C37" s="88"/>
      <c r="D37" s="88"/>
      <c r="E37" s="88"/>
      <c r="F37" s="88"/>
      <c r="G37" s="88"/>
      <c r="H37" s="88"/>
      <c r="I37" s="88"/>
    </row>
    <row r="38" ht="15" customHeight="1" spans="1:9">
      <c r="A38" s="58" t="s">
        <v>277</v>
      </c>
      <c r="B38" s="88" t="s">
        <v>278</v>
      </c>
      <c r="C38" s="88"/>
      <c r="D38" s="88"/>
      <c r="E38" s="88"/>
      <c r="F38" s="88"/>
      <c r="G38" s="88"/>
      <c r="H38" s="88"/>
      <c r="I38" s="88"/>
    </row>
    <row r="39" ht="15" customHeight="1" spans="1:9">
      <c r="A39" s="58" t="s">
        <v>279</v>
      </c>
      <c r="B39" s="88" t="s">
        <v>280</v>
      </c>
      <c r="C39" s="88"/>
      <c r="D39" s="88"/>
      <c r="E39" s="88"/>
      <c r="F39" s="88"/>
      <c r="G39" s="88"/>
      <c r="H39" s="88"/>
      <c r="I39" s="88"/>
    </row>
    <row r="40" ht="15" customHeight="1" spans="1:9">
      <c r="A40" s="58" t="s">
        <v>281</v>
      </c>
      <c r="B40" s="88" t="s">
        <v>282</v>
      </c>
      <c r="C40" s="88"/>
      <c r="D40" s="88"/>
      <c r="E40" s="88"/>
      <c r="F40" s="88"/>
      <c r="G40" s="88"/>
      <c r="H40" s="88"/>
      <c r="I40" s="88"/>
    </row>
  </sheetData>
  <mergeCells count="7">
    <mergeCell ref="A33:I33"/>
    <mergeCell ref="A34:I34"/>
    <mergeCell ref="B36:I36"/>
    <mergeCell ref="B37:I37"/>
    <mergeCell ref="B38:I38"/>
    <mergeCell ref="B39:I39"/>
    <mergeCell ref="B40:I40"/>
  </mergeCells>
  <dataValidations count="2">
    <dataValidation type="list" allowBlank="1" sqref="B6">
      <formula1>"Theo người dùng,Theo lượt dùng,Theo kết quả,Kết hợp (phí cố định + vượt hạn mức)"</formula1>
    </dataValidation>
    <dataValidation type="decimal" operator="between" allowBlank="1" showErrorMessage="1" error="Nhập tỷ lệ từ 0% đến 90%." sqref="B27">
      <formula1>0</formula1>
      <formula2>0.9</formula2>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2"/>
  <sheetViews>
    <sheetView workbookViewId="0">
      <selection activeCell="A1" sqref="A1"/>
    </sheetView>
  </sheetViews>
  <sheetFormatPr defaultColWidth="8.67592592592593" defaultRowHeight="14.4" outlineLevelCol="6"/>
  <cols>
    <col min="1" max="1" width="44" style="1" customWidth="1"/>
    <col min="2" max="4" width="18" style="1" customWidth="1"/>
    <col min="5" max="5" width="14" style="1" customWidth="1"/>
    <col min="6" max="6" width="50" style="1" customWidth="1"/>
    <col min="7" max="7" width="56" style="1" customWidth="1"/>
  </cols>
  <sheetData>
    <row r="1" ht="17.25" customHeight="1" spans="1:7">
      <c r="A1" s="10" t="s">
        <v>283</v>
      </c>
    </row>
    <row r="2" ht="15" customHeight="1" spans="1:7">
      <c r="A2" s="11" t="s">
        <v>284</v>
      </c>
    </row>
    <row r="4" ht="15" customHeight="1" spans="1:7">
      <c r="A4" s="4" t="s">
        <v>285</v>
      </c>
      <c r="B4" s="4" t="s">
        <v>286</v>
      </c>
      <c r="C4" s="4" t="s">
        <v>287</v>
      </c>
      <c r="D4" s="4" t="s">
        <v>288</v>
      </c>
      <c r="E4" s="4" t="s">
        <v>164</v>
      </c>
      <c r="F4" s="4" t="s">
        <v>165</v>
      </c>
      <c r="G4" s="4" t="s">
        <v>289</v>
      </c>
    </row>
    <row r="5" ht="31.5" customHeight="1" spans="1:7">
      <c r="A5" s="34" t="s">
        <v>290</v>
      </c>
      <c r="B5" s="72">
        <v>1.1</v>
      </c>
      <c r="C5" s="72">
        <v>1</v>
      </c>
      <c r="D5" s="72">
        <v>0.8</v>
      </c>
      <c r="E5" s="31" t="s">
        <v>291</v>
      </c>
      <c r="F5" s="73" t="s">
        <v>292</v>
      </c>
      <c r="G5" s="33" t="s">
        <v>293</v>
      </c>
    </row>
    <row r="6" ht="31.5" customHeight="1" spans="1:7">
      <c r="A6" s="34" t="s">
        <v>294</v>
      </c>
      <c r="B6" s="72">
        <v>0.9</v>
      </c>
      <c r="C6" s="72">
        <v>1</v>
      </c>
      <c r="D6" s="72">
        <v>1.2</v>
      </c>
      <c r="E6" s="31" t="s">
        <v>291</v>
      </c>
      <c r="F6" s="73"/>
      <c r="G6" s="33" t="s">
        <v>295</v>
      </c>
    </row>
    <row r="7" ht="31.5" customHeight="1" spans="1:7">
      <c r="A7" s="34" t="s">
        <v>296</v>
      </c>
      <c r="B7" s="74">
        <f>C7*1.3</f>
        <v>390</v>
      </c>
      <c r="C7" s="74">
        <v>300</v>
      </c>
      <c r="D7" s="74">
        <f>C7*0.5</f>
        <v>150</v>
      </c>
      <c r="E7" s="31" t="s">
        <v>297</v>
      </c>
      <c r="F7" s="73" t="s">
        <v>298</v>
      </c>
      <c r="G7" s="33" t="s">
        <v>299</v>
      </c>
    </row>
    <row r="8" ht="46.5" customHeight="1" spans="1:7">
      <c r="A8" s="34" t="s">
        <v>300</v>
      </c>
      <c r="B8" s="35">
        <f>C8*1.6</f>
        <v>0.128</v>
      </c>
      <c r="C8" s="35">
        <v>0.08</v>
      </c>
      <c r="D8" s="35">
        <f>C8*0.4</f>
        <v>0.032</v>
      </c>
      <c r="E8" s="31" t="s">
        <v>189</v>
      </c>
      <c r="F8" s="73" t="s">
        <v>298</v>
      </c>
      <c r="G8" s="33" t="s">
        <v>301</v>
      </c>
    </row>
    <row r="9" ht="43.5" customHeight="1" spans="1:7">
      <c r="A9" s="34" t="s">
        <v>302</v>
      </c>
      <c r="B9" s="35">
        <f>C9*0.6</f>
        <v>0.09</v>
      </c>
      <c r="C9" s="35">
        <v>0.15</v>
      </c>
      <c r="D9" s="35">
        <f>C9*1.6</f>
        <v>0.24</v>
      </c>
      <c r="E9" s="31" t="s">
        <v>189</v>
      </c>
      <c r="F9" s="73" t="s">
        <v>298</v>
      </c>
      <c r="G9" s="33" t="s">
        <v>303</v>
      </c>
    </row>
    <row r="10" ht="31.5" customHeight="1" spans="1:7">
      <c r="A10" s="34" t="s">
        <v>304</v>
      </c>
      <c r="B10" s="36">
        <f>C10*0.8</f>
        <v>560000</v>
      </c>
      <c r="C10" s="36">
        <v>700000</v>
      </c>
      <c r="D10" s="36">
        <f>C10*1.5</f>
        <v>1050000</v>
      </c>
      <c r="E10" s="31" t="s">
        <v>305</v>
      </c>
      <c r="F10" s="73" t="s">
        <v>298</v>
      </c>
      <c r="G10" s="33" t="s">
        <v>306</v>
      </c>
    </row>
    <row r="11" ht="46.5" customHeight="1" spans="1:7">
      <c r="A11" s="34" t="s">
        <v>307</v>
      </c>
      <c r="B11" s="36">
        <f>C11</f>
        <v>120000000</v>
      </c>
      <c r="C11" s="36">
        <v>120000000</v>
      </c>
      <c r="D11" s="36">
        <f>C11</f>
        <v>120000000</v>
      </c>
      <c r="E11" s="31" t="s">
        <v>239</v>
      </c>
      <c r="F11" s="73" t="s">
        <v>298</v>
      </c>
      <c r="G11" s="75" t="s">
        <v>308</v>
      </c>
    </row>
    <row r="12" ht="76.5" customHeight="1" spans="1:7">
      <c r="A12" s="43" t="s">
        <v>309</v>
      </c>
      <c r="B12" s="36">
        <f>C12</f>
        <v>400000000</v>
      </c>
      <c r="C12" s="36">
        <v>400000000</v>
      </c>
      <c r="D12" s="36">
        <f>C12</f>
        <v>400000000</v>
      </c>
      <c r="E12" s="31" t="s">
        <v>192</v>
      </c>
      <c r="F12" s="73" t="s">
        <v>298</v>
      </c>
      <c r="G12" s="75" t="s">
        <v>310</v>
      </c>
    </row>
    <row r="13" ht="31.5" customHeight="1" spans="1:7">
      <c r="A13" s="34" t="s">
        <v>311</v>
      </c>
      <c r="B13" s="36">
        <f>C13</f>
        <v>1500000000</v>
      </c>
      <c r="C13" s="36">
        <v>1500000000</v>
      </c>
      <c r="D13" s="36">
        <f>C13</f>
        <v>1500000000</v>
      </c>
      <c r="E13" s="31" t="s">
        <v>192</v>
      </c>
      <c r="F13" s="73" t="s">
        <v>298</v>
      </c>
      <c r="G13" s="33" t="s">
        <v>312</v>
      </c>
    </row>
    <row r="14" ht="15.75" customHeight="1" spans="1:7">
      <c r="A14" s="29" t="s">
        <v>313</v>
      </c>
      <c r="B14" s="35">
        <v>0.15</v>
      </c>
      <c r="C14" s="35">
        <v>0.15</v>
      </c>
      <c r="D14" s="35">
        <v>0.15</v>
      </c>
      <c r="E14" s="31" t="s">
        <v>189</v>
      </c>
      <c r="F14" s="32" t="s">
        <v>314</v>
      </c>
      <c r="G14" s="33" t="s">
        <v>315</v>
      </c>
    </row>
    <row r="16" ht="15" customHeight="1" spans="1:7">
      <c r="A16" s="15" t="s">
        <v>316</v>
      </c>
    </row>
    <row r="17" ht="15" customHeight="1" spans="1:4">
      <c r="A17" s="12" t="s">
        <v>317</v>
      </c>
      <c r="B17" s="23">
        <f>'2_Định giá'!D17*B5*(1-'2_Định giá'!$B$27)</f>
        <v>153450</v>
      </c>
      <c r="C17" s="23">
        <f>'2_Định giá'!D17*C5*(1-'2_Định giá'!$B$27)</f>
        <v>139500</v>
      </c>
      <c r="D17" s="23">
        <f>'2_Định giá'!D17*D5*(1-'2_Định giá'!$B$27)</f>
        <v>111600</v>
      </c>
    </row>
    <row r="18" ht="15" customHeight="1" spans="1:4">
      <c r="A18" s="12" t="s">
        <v>318</v>
      </c>
      <c r="B18" s="23">
        <f>'2_Định giá'!E17*B6</f>
        <v>13229.693856</v>
      </c>
      <c r="C18" s="23">
        <f>'2_Định giá'!E17*C6</f>
        <v>14699.65984</v>
      </c>
      <c r="D18" s="23">
        <f>'2_Định giá'!E17*D6</f>
        <v>17639.591808</v>
      </c>
    </row>
    <row r="19" ht="15" customHeight="1" spans="1:4">
      <c r="A19" s="3" t="s">
        <v>319</v>
      </c>
    </row>
    <row r="20" ht="15" customHeight="1" spans="1:4">
      <c r="A20" s="15" t="s">
        <v>320</v>
      </c>
    </row>
    <row r="21" ht="15" customHeight="1" spans="1:4">
      <c r="A21" s="1" t="s">
        <v>321</v>
      </c>
      <c r="B21" s="16" t="str">
        <f>IF(C9=0,"Chưa điền",IF(D9&gt;=1.5*C9,"Đạt","Chưa đủ sốc"))</f>
        <v>Đạt</v>
      </c>
    </row>
    <row r="22" ht="15" customHeight="1" spans="1:4">
      <c r="A22" s="1" t="s">
        <v>322</v>
      </c>
      <c r="B22" s="16" t="str">
        <f>IF(C10=0,"Chưa điền",IF(D10&gt;=1.5*C10,"Đạt","Chưa đủ sốc"))</f>
        <v>Đạt</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3"/>
  <sheetViews>
    <sheetView workbookViewId="0">
      <selection activeCell="A1" sqref="A1"/>
    </sheetView>
  </sheetViews>
  <sheetFormatPr defaultColWidth="8.67592592592593" defaultRowHeight="14.4" outlineLevelCol="4"/>
  <cols>
    <col min="1" max="1" width="40" style="1" customWidth="1"/>
    <col min="2" max="4" width="18" style="1" customWidth="1"/>
    <col min="5" max="5" width="20" style="1" customWidth="1"/>
  </cols>
  <sheetData>
    <row r="1" ht="17.25" customHeight="1" spans="1:5">
      <c r="A1" s="10" t="s">
        <v>323</v>
      </c>
    </row>
    <row r="2" ht="15" customHeight="1" spans="1:5">
      <c r="A2" s="11" t="s">
        <v>324</v>
      </c>
    </row>
    <row r="4" ht="15" customHeight="1" spans="1:5">
      <c r="A4" s="4" t="s">
        <v>325</v>
      </c>
      <c r="B4" s="4" t="s">
        <v>286</v>
      </c>
      <c r="C4" s="4" t="s">
        <v>287</v>
      </c>
      <c r="D4" s="4" t="s">
        <v>288</v>
      </c>
      <c r="E4" s="4" t="s">
        <v>326</v>
      </c>
    </row>
    <row r="5" ht="15" customHeight="1" spans="1:5">
      <c r="A5" s="12" t="s">
        <v>317</v>
      </c>
      <c r="B5" s="23">
        <f>'3_Giả định'!B17</f>
        <v>153450</v>
      </c>
      <c r="C5" s="23">
        <f>'3_Giả định'!C17</f>
        <v>139500</v>
      </c>
      <c r="D5" s="23">
        <f>'3_Giả định'!D17</f>
        <v>111600</v>
      </c>
    </row>
    <row r="6" ht="15" customHeight="1" spans="1:5">
      <c r="A6" s="12" t="s">
        <v>327</v>
      </c>
      <c r="B6" s="23">
        <f>'3_Giả định'!B17-'3_Giả định'!B18</f>
        <v>140220.306144</v>
      </c>
      <c r="C6" s="23">
        <f>'3_Giả định'!C17-'3_Giả định'!C18</f>
        <v>124800.34016</v>
      </c>
      <c r="D6" s="23">
        <f>'3_Giả định'!D17-'3_Giả định'!D18</f>
        <v>93960.408192</v>
      </c>
    </row>
    <row r="7" ht="15" customHeight="1" spans="1:5">
      <c r="A7" s="12" t="s">
        <v>102</v>
      </c>
      <c r="B7" s="19">
        <f>IFERROR(B6/B5,0)</f>
        <v>0.91378498627566</v>
      </c>
      <c r="C7" s="19">
        <f>IFERROR(C6/C5,0)</f>
        <v>0.894626094336918</v>
      </c>
      <c r="D7" s="19">
        <f>IFERROR(D6/D5,0)</f>
        <v>0.841939141505376</v>
      </c>
      <c r="E7" s="1" t="s">
        <v>328</v>
      </c>
    </row>
    <row r="8" ht="15" customHeight="1" spans="1:5">
      <c r="A8" s="12" t="s">
        <v>329</v>
      </c>
      <c r="B8" s="21">
        <f>IFERROR(1/'3_Giả định'!B9,0)</f>
        <v>11.1111111111111</v>
      </c>
      <c r="C8" s="21">
        <f>IFERROR(1/'3_Giả định'!C9,0)</f>
        <v>6.66666666666667</v>
      </c>
      <c r="D8" s="21">
        <f>IFERROR(1/'3_Giả định'!D9,0)</f>
        <v>4.16666666666667</v>
      </c>
    </row>
    <row r="9" ht="15" customHeight="1" spans="1:5">
      <c r="A9" s="12" t="s">
        <v>330</v>
      </c>
      <c r="B9" s="23">
        <f>B6*B8</f>
        <v>1558003.4016</v>
      </c>
      <c r="C9" s="23">
        <f>C6*C8</f>
        <v>832002.267733333</v>
      </c>
      <c r="D9" s="23">
        <f>D6*D8</f>
        <v>391501.7008</v>
      </c>
    </row>
    <row r="10" ht="15" customHeight="1" spans="1:5">
      <c r="A10" s="12" t="s">
        <v>331</v>
      </c>
      <c r="B10" s="23">
        <f>'3_Giả định'!B10</f>
        <v>560000</v>
      </c>
      <c r="C10" s="23">
        <f>'3_Giả định'!C10</f>
        <v>700000</v>
      </c>
      <c r="D10" s="23">
        <f>'3_Giả định'!D10</f>
        <v>1050000</v>
      </c>
    </row>
    <row r="11" ht="15" customHeight="1" spans="1:5">
      <c r="A11" s="12" t="s">
        <v>332</v>
      </c>
      <c r="B11" s="71">
        <f>IFERROR(B9/B10,0)</f>
        <v>2.78214893142857</v>
      </c>
      <c r="C11" s="71">
        <f>IFERROR(C9/C10,0)</f>
        <v>1.18857466819048</v>
      </c>
      <c r="D11" s="71">
        <f>IFERROR(D9/D10,0)</f>
        <v>0.372858762666667</v>
      </c>
      <c r="E11" s="13" t="s">
        <v>333</v>
      </c>
    </row>
    <row r="12" ht="15" customHeight="1" spans="1:5">
      <c r="A12" s="12" t="s">
        <v>334</v>
      </c>
      <c r="B12" s="21">
        <f>IFERROR(B10/B6,0)</f>
        <v>3.99371542824122</v>
      </c>
      <c r="C12" s="21">
        <f>IFERROR(C10/C6,0)</f>
        <v>5.6089590709654</v>
      </c>
      <c r="D12" s="21">
        <f>IFERROR(D10/D6,0)</f>
        <v>11.1749195241299</v>
      </c>
      <c r="E12" s="1" t="s">
        <v>335</v>
      </c>
    </row>
    <row r="13" ht="15" customHeight="1" spans="1:5">
      <c r="A13" s="12" t="s">
        <v>336</v>
      </c>
      <c r="B13" s="39" t="str">
        <f>IF(B5&lt;=0,"Chưa điền trang 2–3",IF(B6&lt;=0,"Lỗ trên từng khách",IF(AND(B11&gt;3,B12&lt;12,B7&gt;=0.6),"Khỏe",IF(B11&gt;=1,"Cần cải thiện","Đốt tiền"))))</f>
        <v>Cần cải thiện</v>
      </c>
      <c r="C13" s="39" t="str">
        <f>IF(C5&lt;=0,"Chưa điền trang 2–3",IF(C6&lt;=0,"Lỗ trên từng khách",IF(AND(C11&gt;3,C12&lt;12,C7&gt;=0.6),"Khỏe",IF(C11&gt;=1,"Cần cải thiện","Đốt tiền"))))</f>
        <v>Cần cải thiện</v>
      </c>
      <c r="D13" s="39" t="str">
        <f>IF(D5&lt;=0,"Chưa điền trang 2–3",IF(D6&lt;=0,"Lỗ trên từng khách",IF(AND(D11&gt;3,D12&lt;12,D7&gt;=0.6),"Khỏe",IF(D11&gt;=1,"Cần cải thiện","Đốt tiền"))))</f>
        <v>Đốt tiền</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45"/>
  <sheetViews>
    <sheetView workbookViewId="0">
      <pane xSplit="1" ySplit="4" topLeftCell="B5" activePane="bottomRight" state="frozen"/>
      <selection/>
      <selection pane="topRight"/>
      <selection pane="bottomLeft"/>
      <selection pane="bottomRight" activeCell="A1" sqref="A1"/>
    </sheetView>
  </sheetViews>
  <sheetFormatPr defaultColWidth="8.67592592592593" defaultRowHeight="14.4"/>
  <cols>
    <col min="1" max="1" width="38" style="1" customWidth="1"/>
    <col min="2" max="26" width="18" style="1" customWidth="1"/>
  </cols>
  <sheetData>
    <row r="1" ht="17.25" customHeight="1" spans="1:26">
      <c r="A1" s="10" t="s">
        <v>337</v>
      </c>
    </row>
    <row r="2" ht="15" customHeight="1" spans="1:26">
      <c r="A2" s="11" t="s">
        <v>338</v>
      </c>
    </row>
    <row r="4" ht="15" customHeight="1" spans="1:26">
      <c r="A4" s="4" t="s">
        <v>339</v>
      </c>
      <c r="B4" s="4" t="s">
        <v>340</v>
      </c>
      <c r="C4" s="4" t="s">
        <v>341</v>
      </c>
      <c r="D4" s="4" t="s">
        <v>342</v>
      </c>
      <c r="E4" s="4" t="s">
        <v>343</v>
      </c>
      <c r="F4" s="4" t="s">
        <v>344</v>
      </c>
      <c r="G4" s="4" t="s">
        <v>345</v>
      </c>
      <c r="H4" s="4" t="s">
        <v>346</v>
      </c>
      <c r="I4" s="4" t="s">
        <v>347</v>
      </c>
      <c r="J4" s="4" t="s">
        <v>348</v>
      </c>
      <c r="K4" s="4" t="s">
        <v>349</v>
      </c>
      <c r="L4" s="4" t="s">
        <v>350</v>
      </c>
      <c r="M4" s="4" t="s">
        <v>351</v>
      </c>
      <c r="N4" s="4" t="s">
        <v>352</v>
      </c>
      <c r="O4" s="4" t="s">
        <v>353</v>
      </c>
      <c r="P4" s="4" t="s">
        <v>354</v>
      </c>
      <c r="Q4" s="4" t="s">
        <v>355</v>
      </c>
      <c r="R4" s="4" t="s">
        <v>356</v>
      </c>
      <c r="S4" s="4" t="s">
        <v>357</v>
      </c>
      <c r="T4" s="4" t="s">
        <v>358</v>
      </c>
      <c r="U4" s="4" t="s">
        <v>359</v>
      </c>
      <c r="V4" s="4" t="s">
        <v>360</v>
      </c>
      <c r="W4" s="4" t="s">
        <v>361</v>
      </c>
      <c r="X4" s="4" t="s">
        <v>362</v>
      </c>
      <c r="Y4" s="4" t="s">
        <v>363</v>
      </c>
      <c r="Z4" s="4" t="s">
        <v>364</v>
      </c>
    </row>
    <row r="5" ht="15" customHeight="1" spans="1:26">
      <c r="A5" s="40" t="s">
        <v>365</v>
      </c>
    </row>
    <row r="6" ht="15" customHeight="1" spans="1:26">
      <c r="A6" s="12" t="s">
        <v>366</v>
      </c>
      <c r="C6" s="41">
        <f>'3_Giả định'!$B$7*(1+'3_Giả định'!$B$8)^0</f>
        <v>390</v>
      </c>
      <c r="D6" s="41">
        <f>'3_Giả định'!$B$7*(1+'3_Giả định'!$B$8)^1</f>
        <v>439.92</v>
      </c>
      <c r="E6" s="41">
        <f>'3_Giả định'!$B$7*(1+'3_Giả định'!$B$8)^2</f>
        <v>496.22976</v>
      </c>
      <c r="F6" s="41">
        <f>'3_Giả định'!$B$7*(1+'3_Giả định'!$B$8)^3</f>
        <v>559.74716928</v>
      </c>
      <c r="G6" s="41">
        <f>'3_Giả định'!$B$7*(1+'3_Giả định'!$B$8)^4</f>
        <v>631.39480694784</v>
      </c>
      <c r="H6" s="41">
        <f>'3_Giả định'!$B$7*(1+'3_Giả định'!$B$8)^5</f>
        <v>712.213342237164</v>
      </c>
      <c r="I6" s="41">
        <f>'3_Giả định'!$B$7*(1+'3_Giả định'!$B$8)^6</f>
        <v>803.376650043521</v>
      </c>
      <c r="J6" s="41">
        <f>'3_Giả định'!$B$7*(1+'3_Giả định'!$B$8)^7</f>
        <v>906.208861249092</v>
      </c>
      <c r="K6" s="41">
        <f>'3_Giả định'!$B$7*(1+'3_Giả định'!$B$8)^8</f>
        <v>1022.20359548898</v>
      </c>
      <c r="L6" s="41">
        <f>'3_Giả định'!$B$7*(1+'3_Giả định'!$B$8)^9</f>
        <v>1153.04565571156</v>
      </c>
      <c r="M6" s="41">
        <f>'3_Giả định'!$B$7*(1+'3_Giả định'!$B$8)^10</f>
        <v>1300.63549964264</v>
      </c>
      <c r="N6" s="41">
        <f>'3_Giả định'!$B$7*(1+'3_Giả định'!$B$8)^11</f>
        <v>1467.1168435969</v>
      </c>
      <c r="O6" s="41">
        <f>'3_Giả định'!$B$7*(1+'3_Giả định'!$B$8)^12</f>
        <v>1654.90779957731</v>
      </c>
      <c r="P6" s="41">
        <f>'3_Giả định'!$B$7*(1+'3_Giả định'!$B$8)^13</f>
        <v>1866.7359979232</v>
      </c>
      <c r="Q6" s="41">
        <f>'3_Giả định'!$B$7*(1+'3_Giả định'!$B$8)^14</f>
        <v>2105.67820565737</v>
      </c>
      <c r="R6" s="41">
        <f>'3_Giả định'!$B$7*(1+'3_Giả định'!$B$8)^15</f>
        <v>2375.20501598152</v>
      </c>
      <c r="S6" s="41">
        <f>'3_Giả định'!$B$7*(1+'3_Giả định'!$B$8)^16</f>
        <v>2679.23125802715</v>
      </c>
      <c r="T6" s="41">
        <f>'3_Giả định'!$B$7*(1+'3_Giả định'!$B$8)^17</f>
        <v>3022.17285905463</v>
      </c>
      <c r="U6" s="41">
        <f>'3_Giả định'!$B$7*(1+'3_Giả định'!$B$8)^18</f>
        <v>3409.01098501362</v>
      </c>
      <c r="V6" s="41">
        <f>'3_Giả định'!$B$7*(1+'3_Giả định'!$B$8)^19</f>
        <v>3845.36439109536</v>
      </c>
      <c r="W6" s="41">
        <f>'3_Giả định'!$B$7*(1+'3_Giả định'!$B$8)^20</f>
        <v>4337.57103315557</v>
      </c>
      <c r="X6" s="41">
        <f>'3_Giả định'!$B$7*(1+'3_Giả định'!$B$8)^21</f>
        <v>4892.78012539948</v>
      </c>
      <c r="Y6" s="41">
        <f>'3_Giả định'!$B$7*(1+'3_Giả định'!$B$8)^22</f>
        <v>5519.05598145062</v>
      </c>
      <c r="Z6" s="41">
        <f>'3_Giả định'!$B$7*(1+'3_Giả định'!$B$8)^23</f>
        <v>6225.4951470763</v>
      </c>
    </row>
    <row r="7" ht="15" customHeight="1" spans="1:26">
      <c r="A7" s="12" t="s">
        <v>367</v>
      </c>
      <c r="B7" s="1">
        <v>0</v>
      </c>
      <c r="C7" s="41">
        <f>B7*(1-'3_Giả định'!$B$9)+C6</f>
        <v>390</v>
      </c>
      <c r="D7" s="41">
        <f>C7*(1-'3_Giả định'!$B$9)+D6</f>
        <v>794.82</v>
      </c>
      <c r="E7" s="41">
        <f>D7*(1-'3_Giả định'!$B$9)+E6</f>
        <v>1219.51596</v>
      </c>
      <c r="F7" s="41">
        <f>E7*(1-'3_Giả định'!$B$9)+F6</f>
        <v>1669.50669288</v>
      </c>
      <c r="G7" s="41">
        <f>F7*(1-'3_Giả định'!$B$9)+G6</f>
        <v>2150.64589746864</v>
      </c>
      <c r="H7" s="41">
        <f>G7*(1-'3_Giả định'!$B$9)+H6</f>
        <v>2669.30110893363</v>
      </c>
      <c r="I7" s="41">
        <f>H7*(1-'3_Giả định'!$B$9)+I6</f>
        <v>3232.44065917312</v>
      </c>
      <c r="J7" s="41">
        <f>I7*(1-'3_Giả định'!$B$9)+J6</f>
        <v>3847.72986109663</v>
      </c>
      <c r="K7" s="41">
        <f>J7*(1-'3_Giả định'!$B$9)+K6</f>
        <v>4523.63776908691</v>
      </c>
      <c r="L7" s="41">
        <f>K7*(1-'3_Giả định'!$B$9)+L6</f>
        <v>5269.55602558065</v>
      </c>
      <c r="M7" s="41">
        <f>L7*(1-'3_Giả định'!$B$9)+M6</f>
        <v>6095.93148292104</v>
      </c>
      <c r="N7" s="41">
        <f>M7*(1-'3_Giả định'!$B$9)+N6</f>
        <v>7014.41449305505</v>
      </c>
      <c r="O7" s="41">
        <f>N7*(1-'3_Giả định'!$B$9)+O6</f>
        <v>8038.0249882574</v>
      </c>
      <c r="P7" s="41">
        <f>O7*(1-'3_Giả định'!$B$9)+P6</f>
        <v>9181.33873723744</v>
      </c>
      <c r="Q7" s="41">
        <f>P7*(1-'3_Giả định'!$B$9)+Q6</f>
        <v>10460.6964565434</v>
      </c>
      <c r="R7" s="41">
        <f>Q7*(1-'3_Giả định'!$B$9)+R6</f>
        <v>11894.4387914361</v>
      </c>
      <c r="S7" s="41">
        <f>R7*(1-'3_Giả định'!$B$9)+S6</f>
        <v>13503.170558234</v>
      </c>
      <c r="T7" s="41">
        <f>S7*(1-'3_Giả định'!$B$9)+T6</f>
        <v>15310.0580670475</v>
      </c>
      <c r="U7" s="41">
        <f>T7*(1-'3_Giả định'!$B$9)+U6</f>
        <v>17341.1638260269</v>
      </c>
      <c r="V7" s="41">
        <f>U7*(1-'3_Giả định'!$B$9)+V6</f>
        <v>19625.8234727798</v>
      </c>
      <c r="W7" s="41">
        <f>V7*(1-'3_Giả định'!$B$9)+W6</f>
        <v>22197.0703933852</v>
      </c>
      <c r="X7" s="41">
        <f>W7*(1-'3_Giả định'!$B$9)+X6</f>
        <v>25092.11418338</v>
      </c>
      <c r="Y7" s="41">
        <f>X7*(1-'3_Giả định'!$B$9)+Y6</f>
        <v>28352.8798883264</v>
      </c>
      <c r="Z7" s="41">
        <f>Y7*(1-'3_Giả định'!$B$9)+Z6</f>
        <v>32026.6158454534</v>
      </c>
    </row>
    <row r="8" ht="15" customHeight="1" spans="1:26">
      <c r="A8" s="12" t="s">
        <v>92</v>
      </c>
      <c r="C8" s="42">
        <f>C7*'3_Giả định'!$B$17</f>
        <v>59845500</v>
      </c>
      <c r="D8" s="42">
        <f>D7*'3_Giả định'!$B$17</f>
        <v>121965129</v>
      </c>
      <c r="E8" s="42">
        <f>E7*'3_Giả định'!$B$17</f>
        <v>187134724.062</v>
      </c>
      <c r="F8" s="42">
        <f>F7*'3_Giả định'!$B$17</f>
        <v>256185802.022436</v>
      </c>
      <c r="G8" s="42">
        <f>G7*'3_Giả định'!$B$17</f>
        <v>330016612.966563</v>
      </c>
      <c r="H8" s="42">
        <f>H7*'3_Giả định'!$B$17</f>
        <v>409604255.165865</v>
      </c>
      <c r="I8" s="42">
        <f>I7*'3_Giả định'!$B$17</f>
        <v>496018019.150115</v>
      </c>
      <c r="J8" s="42">
        <f>J7*'3_Giả định'!$B$17</f>
        <v>590434147.185278</v>
      </c>
      <c r="K8" s="42">
        <f>K7*'3_Giả định'!$B$17</f>
        <v>694152215.666386</v>
      </c>
      <c r="L8" s="42">
        <f>L7*'3_Giả định'!$B$17</f>
        <v>808613372.125351</v>
      </c>
      <c r="M8" s="42">
        <f>M7*'3_Giả định'!$B$17</f>
        <v>935420686.054234</v>
      </c>
      <c r="N8" s="42">
        <f>N7*'3_Giả định'!$B$17</f>
        <v>1076361903.9593</v>
      </c>
      <c r="O8" s="42">
        <f>O7*'3_Giả định'!$B$17</f>
        <v>1233434934.4481</v>
      </c>
      <c r="P8" s="42">
        <f>P7*'3_Giả định'!$B$17</f>
        <v>1408876429.22909</v>
      </c>
      <c r="Q8" s="42">
        <f>Q7*'3_Giả định'!$B$17</f>
        <v>1605193871.25659</v>
      </c>
      <c r="R8" s="42">
        <f>R7*'3_Giả định'!$B$17</f>
        <v>1825201632.54586</v>
      </c>
      <c r="S8" s="42">
        <f>S7*'3_Giả định'!$B$17</f>
        <v>2072061522.161</v>
      </c>
      <c r="T8" s="42">
        <f>T7*'3_Giả định'!$B$17</f>
        <v>2349328410.38844</v>
      </c>
      <c r="U8" s="42">
        <f>U7*'3_Giả định'!$B$17</f>
        <v>2661001589.10382</v>
      </c>
      <c r="V8" s="42">
        <f>V7*'3_Giả định'!$B$17</f>
        <v>3011582611.89806</v>
      </c>
      <c r="W8" s="42">
        <f>W7*'3_Giả định'!$B$17</f>
        <v>3406140451.86496</v>
      </c>
      <c r="X8" s="42">
        <f>X7*'3_Giả định'!$B$17</f>
        <v>3850384921.43966</v>
      </c>
      <c r="Y8" s="42">
        <f>Y7*'3_Giả định'!$B$17</f>
        <v>4350749418.86369</v>
      </c>
      <c r="Z8" s="42">
        <f>Z7*'3_Giả định'!$B$17</f>
        <v>4914484201.48482</v>
      </c>
    </row>
    <row r="9" ht="15" customHeight="1" spans="1:26">
      <c r="A9" s="12" t="s">
        <v>368</v>
      </c>
      <c r="C9" s="42">
        <f>C7*'3_Giả định'!$B$18</f>
        <v>5159580.60384</v>
      </c>
      <c r="D9" s="42">
        <f>D7*'3_Giả định'!$B$18</f>
        <v>10515225.2706259</v>
      </c>
      <c r="E9" s="42">
        <f>E7*'3_Giả định'!$B$18</f>
        <v>16133822.8033059</v>
      </c>
      <c r="F9" s="42">
        <f>F7*'3_Giả định'!$B$18</f>
        <v>22087062.4373454</v>
      </c>
      <c r="G9" s="42">
        <f>G7*'3_Giả định'!$B$18</f>
        <v>28452386.8161725</v>
      </c>
      <c r="H9" s="42">
        <f>H7*'3_Giả định'!$B$18</f>
        <v>35314036.4806732</v>
      </c>
      <c r="I9" s="42">
        <f>I7*'3_Giả định'!$B$18</f>
        <v>42764200.3285472</v>
      </c>
      <c r="J9" s="42">
        <f>J7*'3_Giả định'!$B$18</f>
        <v>50904288.1028978</v>
      </c>
      <c r="K9" s="42">
        <f>K7*'3_Giả định'!$B$18</f>
        <v>59846342.8004587</v>
      </c>
      <c r="L9" s="42">
        <f>L7*'3_Giả định'!$B$18</f>
        <v>69714612.9754722</v>
      </c>
      <c r="M9" s="42">
        <f>M7*'3_Giả định'!$B$18</f>
        <v>80647307.2861975</v>
      </c>
      <c r="N9" s="42">
        <f>N7*'3_Giả định'!$B$18</f>
        <v>92798556.3222077</v>
      </c>
      <c r="O9" s="42">
        <f>O7*'3_Giả định'!$B$18</f>
        <v>106340609.801523</v>
      </c>
      <c r="P9" s="42">
        <f>P7*'3_Giả định'!$B$18</f>
        <v>121466300.681885</v>
      </c>
      <c r="Q9" s="42">
        <f>Q7*'3_Giả định'!$B$18</f>
        <v>138391811.640614</v>
      </c>
      <c r="R9" s="42">
        <f>R7*'3_Giả định'!$B$18</f>
        <v>157359783.79963</v>
      </c>
      <c r="S9" s="42">
        <f>S7*'3_Giả định'!$B$18</f>
        <v>178642812.570788</v>
      </c>
      <c r="T9" s="42">
        <f>T7*'3_Giả định'!$B$18</f>
        <v>202547381.144622</v>
      </c>
      <c r="U9" s="42">
        <f>U7*'3_Giả định'!$B$18</f>
        <v>229418288.525077</v>
      </c>
      <c r="V9" s="42">
        <f>V7*'3_Giả định'!$B$18</f>
        <v>259643636.216776</v>
      </c>
      <c r="W9" s="42">
        <f>W7*'3_Giả định'!$B$18</f>
        <v>293660445.804568</v>
      </c>
      <c r="X9" s="42">
        <f>X7*'3_Giả định'!$B$18</f>
        <v>331960988.845913</v>
      </c>
      <c r="Y9" s="42">
        <f>Y7*'3_Giả định'!$B$18</f>
        <v>375099920.858498</v>
      </c>
      <c r="Z9" s="42">
        <f>Z7*'3_Giả định'!$B$18</f>
        <v>423702322.879067</v>
      </c>
    </row>
    <row r="10" ht="15" customHeight="1" spans="1:26">
      <c r="A10" s="12" t="s">
        <v>94</v>
      </c>
      <c r="C10" s="42">
        <f t="shared" ref="C10:Z10" si="0">C8-C9</f>
        <v>54685919.39616</v>
      </c>
      <c r="D10" s="42">
        <f t="shared" si="0"/>
        <v>111449903.729374</v>
      </c>
      <c r="E10" s="42">
        <f t="shared" si="0"/>
        <v>171000901.258694</v>
      </c>
      <c r="F10" s="42">
        <f t="shared" si="0"/>
        <v>234098739.585091</v>
      </c>
      <c r="G10" s="42">
        <f t="shared" si="0"/>
        <v>301564226.15039</v>
      </c>
      <c r="H10" s="42">
        <f t="shared" si="0"/>
        <v>374290218.685192</v>
      </c>
      <c r="I10" s="42">
        <f t="shared" si="0"/>
        <v>453253818.821568</v>
      </c>
      <c r="J10" s="42">
        <f t="shared" si="0"/>
        <v>539529859.08238</v>
      </c>
      <c r="K10" s="42">
        <f t="shared" si="0"/>
        <v>634305872.865928</v>
      </c>
      <c r="L10" s="42">
        <f t="shared" si="0"/>
        <v>738898759.149879</v>
      </c>
      <c r="M10" s="42">
        <f t="shared" si="0"/>
        <v>854773378.768036</v>
      </c>
      <c r="N10" s="42">
        <f t="shared" si="0"/>
        <v>983563347.63709</v>
      </c>
      <c r="O10" s="42">
        <f t="shared" si="0"/>
        <v>1127094324.64657</v>
      </c>
      <c r="P10" s="42">
        <f t="shared" si="0"/>
        <v>1287410128.5472</v>
      </c>
      <c r="Q10" s="42">
        <f t="shared" si="0"/>
        <v>1466802059.61598</v>
      </c>
      <c r="R10" s="42">
        <f t="shared" si="0"/>
        <v>1667841848.74623</v>
      </c>
      <c r="S10" s="42">
        <f t="shared" si="0"/>
        <v>1893418709.59021</v>
      </c>
      <c r="T10" s="42">
        <f t="shared" si="0"/>
        <v>2146781029.24382</v>
      </c>
      <c r="U10" s="42">
        <f t="shared" si="0"/>
        <v>2431583300.57875</v>
      </c>
      <c r="V10" s="42">
        <f t="shared" si="0"/>
        <v>2751938975.68129</v>
      </c>
      <c r="W10" s="42">
        <f t="shared" si="0"/>
        <v>3112480006.06039</v>
      </c>
      <c r="X10" s="42">
        <f t="shared" si="0"/>
        <v>3518423932.59375</v>
      </c>
      <c r="Y10" s="42">
        <f t="shared" si="0"/>
        <v>3975649498.00519</v>
      </c>
      <c r="Z10" s="42">
        <f t="shared" si="0"/>
        <v>4490781878.60575</v>
      </c>
    </row>
    <row r="11" ht="15" customHeight="1" spans="1:26">
      <c r="A11" s="12" t="s">
        <v>369</v>
      </c>
      <c r="C11" s="42">
        <f>C6*'3_Giả định'!$B$10</f>
        <v>218400000</v>
      </c>
      <c r="D11" s="42">
        <f>D6*'3_Giả định'!$B$10</f>
        <v>246355200</v>
      </c>
      <c r="E11" s="42">
        <f>E6*'3_Giả định'!$B$10</f>
        <v>277888665.6</v>
      </c>
      <c r="F11" s="42">
        <f>F6*'3_Giả định'!$B$10</f>
        <v>313458414.7968</v>
      </c>
      <c r="G11" s="42">
        <f>G6*'3_Giả định'!$B$10</f>
        <v>353581091.890791</v>
      </c>
      <c r="H11" s="42">
        <f>H6*'3_Giả định'!$B$10</f>
        <v>398839471.652812</v>
      </c>
      <c r="I11" s="42">
        <f>I6*'3_Giả định'!$B$10</f>
        <v>449890924.024372</v>
      </c>
      <c r="J11" s="42">
        <f>J6*'3_Giả định'!$B$10</f>
        <v>507476962.299491</v>
      </c>
      <c r="K11" s="42">
        <f>K6*'3_Giả định'!$B$10</f>
        <v>572434013.473826</v>
      </c>
      <c r="L11" s="42">
        <f>L6*'3_Giả định'!$B$10</f>
        <v>645705567.198476</v>
      </c>
      <c r="M11" s="42">
        <f>M6*'3_Giả định'!$B$10</f>
        <v>728355879.799881</v>
      </c>
      <c r="N11" s="42">
        <f>N6*'3_Giả định'!$B$10</f>
        <v>821585432.414266</v>
      </c>
      <c r="O11" s="42">
        <f>O6*'3_Giả định'!$B$10</f>
        <v>926748367.763292</v>
      </c>
      <c r="P11" s="42">
        <f>P6*'3_Giả định'!$B$10</f>
        <v>1045372158.83699</v>
      </c>
      <c r="Q11" s="42">
        <f>Q6*'3_Giả định'!$B$10</f>
        <v>1179179795.16813</v>
      </c>
      <c r="R11" s="42">
        <f>R6*'3_Giả định'!$B$10</f>
        <v>1330114808.94965</v>
      </c>
      <c r="S11" s="42">
        <f>S6*'3_Giả định'!$B$10</f>
        <v>1500369504.4952</v>
      </c>
      <c r="T11" s="42">
        <f>T6*'3_Giả định'!$B$10</f>
        <v>1692416801.07059</v>
      </c>
      <c r="U11" s="42">
        <f>U6*'3_Giả định'!$B$10</f>
        <v>1909046151.60763</v>
      </c>
      <c r="V11" s="42">
        <f>V6*'3_Giả định'!$B$10</f>
        <v>2153404059.0134</v>
      </c>
      <c r="W11" s="42">
        <f>W6*'3_Giả định'!$B$10</f>
        <v>2429039778.56712</v>
      </c>
      <c r="X11" s="42">
        <f>X6*'3_Giả định'!$B$10</f>
        <v>2739956870.22371</v>
      </c>
      <c r="Y11" s="42">
        <f>Y6*'3_Giả định'!$B$10</f>
        <v>3090671349.61235</v>
      </c>
      <c r="Z11" s="42">
        <f>Z6*'3_Giả định'!$B$10</f>
        <v>3486277282.36273</v>
      </c>
    </row>
    <row r="12" ht="15" customHeight="1" spans="1:26">
      <c r="A12" s="12" t="s">
        <v>370</v>
      </c>
      <c r="C12" s="42">
        <f>'3_Giả định'!$B$11</f>
        <v>120000000</v>
      </c>
      <c r="D12" s="42">
        <f>'3_Giả định'!$B$11</f>
        <v>120000000</v>
      </c>
      <c r="E12" s="42">
        <f>'3_Giả định'!$B$11</f>
        <v>120000000</v>
      </c>
      <c r="F12" s="42">
        <f>'3_Giả định'!$B$11</f>
        <v>120000000</v>
      </c>
      <c r="G12" s="42">
        <f>'3_Giả định'!$B$11</f>
        <v>120000000</v>
      </c>
      <c r="H12" s="42">
        <f>'3_Giả định'!$B$11</f>
        <v>120000000</v>
      </c>
      <c r="I12" s="42">
        <f>'3_Giả định'!$B$11</f>
        <v>120000000</v>
      </c>
      <c r="J12" s="42">
        <f>'3_Giả định'!$B$11</f>
        <v>120000000</v>
      </c>
      <c r="K12" s="42">
        <f>'3_Giả định'!$B$11</f>
        <v>120000000</v>
      </c>
      <c r="L12" s="42">
        <f>'3_Giả định'!$B$11</f>
        <v>120000000</v>
      </c>
      <c r="M12" s="42">
        <f>'3_Giả định'!$B$11</f>
        <v>120000000</v>
      </c>
      <c r="N12" s="42">
        <f>'3_Giả định'!$B$11</f>
        <v>120000000</v>
      </c>
      <c r="O12" s="42">
        <f>'3_Giả định'!$B$11</f>
        <v>120000000</v>
      </c>
      <c r="P12" s="42">
        <f>'3_Giả định'!$B$11</f>
        <v>120000000</v>
      </c>
      <c r="Q12" s="42">
        <f>'3_Giả định'!$B$11</f>
        <v>120000000</v>
      </c>
      <c r="R12" s="42">
        <f>'3_Giả định'!$B$11</f>
        <v>120000000</v>
      </c>
      <c r="S12" s="42">
        <f>'3_Giả định'!$B$11</f>
        <v>120000000</v>
      </c>
      <c r="T12" s="42">
        <f>'3_Giả định'!$B$11</f>
        <v>120000000</v>
      </c>
      <c r="U12" s="42">
        <f>'3_Giả định'!$B$11</f>
        <v>120000000</v>
      </c>
      <c r="V12" s="42">
        <f>'3_Giả định'!$B$11</f>
        <v>120000000</v>
      </c>
      <c r="W12" s="42">
        <f>'3_Giả định'!$B$11</f>
        <v>120000000</v>
      </c>
      <c r="X12" s="42">
        <f>'3_Giả định'!$B$11</f>
        <v>120000000</v>
      </c>
      <c r="Y12" s="42">
        <f>'3_Giả định'!$B$11</f>
        <v>120000000</v>
      </c>
      <c r="Z12" s="42">
        <f>'3_Giả định'!$B$11</f>
        <v>120000000</v>
      </c>
    </row>
    <row r="13" ht="15" customHeight="1" spans="1:26">
      <c r="A13" s="12" t="s">
        <v>371</v>
      </c>
      <c r="B13" s="42">
        <f>-'3_Giả định'!$B$12</f>
        <v>-400000000</v>
      </c>
      <c r="C13" s="42">
        <f t="shared" ref="C13:Z13" si="1">C10-C11-C12</f>
        <v>-283714080.60384</v>
      </c>
      <c r="D13" s="42">
        <f t="shared" si="1"/>
        <v>-254905296.270626</v>
      </c>
      <c r="E13" s="42">
        <f t="shared" si="1"/>
        <v>-226887764.341306</v>
      </c>
      <c r="F13" s="42">
        <f t="shared" si="1"/>
        <v>-199359675.211709</v>
      </c>
      <c r="G13" s="42">
        <f t="shared" si="1"/>
        <v>-172016865.7404</v>
      </c>
      <c r="H13" s="42">
        <f t="shared" si="1"/>
        <v>-144549252.96762</v>
      </c>
      <c r="I13" s="42">
        <f t="shared" si="1"/>
        <v>-116637105.202804</v>
      </c>
      <c r="J13" s="42">
        <f t="shared" si="1"/>
        <v>-87947103.2171111</v>
      </c>
      <c r="K13" s="42">
        <f t="shared" si="1"/>
        <v>-58128140.6078985</v>
      </c>
      <c r="L13" s="42">
        <f t="shared" si="1"/>
        <v>-26806808.048597</v>
      </c>
      <c r="M13" s="42">
        <f t="shared" si="1"/>
        <v>6417498.96815503</v>
      </c>
      <c r="N13" s="42">
        <f t="shared" si="1"/>
        <v>41977915.2228236</v>
      </c>
      <c r="O13" s="42">
        <f t="shared" si="1"/>
        <v>80345956.8832829</v>
      </c>
      <c r="P13" s="42">
        <f t="shared" si="1"/>
        <v>122037969.710207</v>
      </c>
      <c r="Q13" s="42">
        <f t="shared" si="1"/>
        <v>167622264.447849</v>
      </c>
      <c r="R13" s="42">
        <f t="shared" si="1"/>
        <v>217727039.796583</v>
      </c>
      <c r="S13" s="42">
        <f t="shared" si="1"/>
        <v>273049205.095008</v>
      </c>
      <c r="T13" s="42">
        <f t="shared" si="1"/>
        <v>334364228.17323</v>
      </c>
      <c r="U13" s="42">
        <f t="shared" si="1"/>
        <v>402537148.971118</v>
      </c>
      <c r="V13" s="42">
        <f t="shared" si="1"/>
        <v>478534916.667883</v>
      </c>
      <c r="W13" s="42">
        <f t="shared" si="1"/>
        <v>563440227.493272</v>
      </c>
      <c r="X13" s="42">
        <f t="shared" si="1"/>
        <v>658467062.37004</v>
      </c>
      <c r="Y13" s="42">
        <f t="shared" si="1"/>
        <v>764978148.392847</v>
      </c>
      <c r="Z13" s="42">
        <f t="shared" si="1"/>
        <v>884504596.243023</v>
      </c>
    </row>
    <row r="14" ht="15" customHeight="1" spans="1:26">
      <c r="A14" s="12" t="s">
        <v>372</v>
      </c>
      <c r="B14" s="42">
        <f>'3_Giả định'!$B$13+B13</f>
        <v>1100000000</v>
      </c>
      <c r="C14" s="42">
        <f t="shared" ref="C14:Z14" si="2">B14+C13</f>
        <v>816285919.39616</v>
      </c>
      <c r="D14" s="42">
        <f t="shared" si="2"/>
        <v>561380623.125534</v>
      </c>
      <c r="E14" s="42">
        <f t="shared" si="2"/>
        <v>334492858.784228</v>
      </c>
      <c r="F14" s="42">
        <f t="shared" si="2"/>
        <v>135133183.572519</v>
      </c>
      <c r="G14" s="42">
        <f t="shared" si="2"/>
        <v>-36883682.1678815</v>
      </c>
      <c r="H14" s="42">
        <f t="shared" si="2"/>
        <v>-181432935.135501</v>
      </c>
      <c r="I14" s="42">
        <f t="shared" si="2"/>
        <v>-298070040.338305</v>
      </c>
      <c r="J14" s="42">
        <f t="shared" si="2"/>
        <v>-386017143.555416</v>
      </c>
      <c r="K14" s="42">
        <f t="shared" si="2"/>
        <v>-444145284.163314</v>
      </c>
      <c r="L14" s="42">
        <f t="shared" si="2"/>
        <v>-470952092.211911</v>
      </c>
      <c r="M14" s="42">
        <f t="shared" si="2"/>
        <v>-464534593.243756</v>
      </c>
      <c r="N14" s="42">
        <f t="shared" si="2"/>
        <v>-422556678.020933</v>
      </c>
      <c r="O14" s="42">
        <f t="shared" si="2"/>
        <v>-342210721.13765</v>
      </c>
      <c r="P14" s="42">
        <f t="shared" si="2"/>
        <v>-220172751.427443</v>
      </c>
      <c r="Q14" s="42">
        <f t="shared" si="2"/>
        <v>-52550486.9795945</v>
      </c>
      <c r="R14" s="42">
        <f t="shared" si="2"/>
        <v>165176552.816988</v>
      </c>
      <c r="S14" s="42">
        <f t="shared" si="2"/>
        <v>438225757.911997</v>
      </c>
      <c r="T14" s="42">
        <f t="shared" si="2"/>
        <v>772589986.085227</v>
      </c>
      <c r="U14" s="42">
        <f t="shared" si="2"/>
        <v>1175127135.05634</v>
      </c>
      <c r="V14" s="42">
        <f t="shared" si="2"/>
        <v>1653662051.72423</v>
      </c>
      <c r="W14" s="42">
        <f t="shared" si="2"/>
        <v>2217102279.2175</v>
      </c>
      <c r="X14" s="42">
        <f t="shared" si="2"/>
        <v>2875569341.58754</v>
      </c>
      <c r="Y14" s="42">
        <f t="shared" si="2"/>
        <v>3640547489.98039</v>
      </c>
      <c r="Z14" s="42">
        <f t="shared" si="2"/>
        <v>4525052086.22341</v>
      </c>
    </row>
    <row r="15" ht="15" customHeight="1" spans="1:26">
      <c r="A15" s="12" t="s">
        <v>373</v>
      </c>
      <c r="B15" s="42">
        <f>B13</f>
        <v>-400000000</v>
      </c>
      <c r="C15" s="42">
        <f t="shared" ref="C15:Z15" si="3">B15+C13</f>
        <v>-683714080.60384</v>
      </c>
      <c r="D15" s="42">
        <f t="shared" si="3"/>
        <v>-938619376.874466</v>
      </c>
      <c r="E15" s="42">
        <f t="shared" si="3"/>
        <v>-1165507141.21577</v>
      </c>
      <c r="F15" s="42">
        <f t="shared" si="3"/>
        <v>-1364866816.42748</v>
      </c>
      <c r="G15" s="42">
        <f t="shared" si="3"/>
        <v>-1536883682.16788</v>
      </c>
      <c r="H15" s="42">
        <f t="shared" si="3"/>
        <v>-1681432935.1355</v>
      </c>
      <c r="I15" s="42">
        <f t="shared" si="3"/>
        <v>-1798070040.3383</v>
      </c>
      <c r="J15" s="42">
        <f t="shared" si="3"/>
        <v>-1886017143.55542</v>
      </c>
      <c r="K15" s="42">
        <f t="shared" si="3"/>
        <v>-1944145284.16331</v>
      </c>
      <c r="L15" s="42">
        <f t="shared" si="3"/>
        <v>-1970952092.21191</v>
      </c>
      <c r="M15" s="42">
        <f t="shared" si="3"/>
        <v>-1964534593.24376</v>
      </c>
      <c r="N15" s="42">
        <f t="shared" si="3"/>
        <v>-1922556678.02093</v>
      </c>
      <c r="O15" s="42">
        <f t="shared" si="3"/>
        <v>-1842210721.13765</v>
      </c>
      <c r="P15" s="42">
        <f t="shared" si="3"/>
        <v>-1720172751.42744</v>
      </c>
      <c r="Q15" s="42">
        <f t="shared" si="3"/>
        <v>-1552550486.97959</v>
      </c>
      <c r="R15" s="42">
        <f t="shared" si="3"/>
        <v>-1334823447.18301</v>
      </c>
      <c r="S15" s="42">
        <f t="shared" si="3"/>
        <v>-1061774242.088</v>
      </c>
      <c r="T15" s="42">
        <f t="shared" si="3"/>
        <v>-727410013.914774</v>
      </c>
      <c r="U15" s="42">
        <f t="shared" si="3"/>
        <v>-324872864.943655</v>
      </c>
      <c r="V15" s="42">
        <f t="shared" si="3"/>
        <v>153662051.724227</v>
      </c>
      <c r="W15" s="42">
        <f t="shared" si="3"/>
        <v>717102279.217499</v>
      </c>
      <c r="X15" s="42">
        <f t="shared" si="3"/>
        <v>1375569341.58754</v>
      </c>
      <c r="Y15" s="42">
        <f t="shared" si="3"/>
        <v>2140547489.98039</v>
      </c>
      <c r="Z15" s="42">
        <f t="shared" si="3"/>
        <v>3025052086.22341</v>
      </c>
    </row>
    <row r="17" ht="15" customHeight="1" spans="1:26">
      <c r="A17" s="40" t="s">
        <v>374</v>
      </c>
    </row>
    <row r="18" ht="15" customHeight="1" spans="1:26">
      <c r="A18" s="12" t="s">
        <v>366</v>
      </c>
      <c r="C18" s="41">
        <f>'3_Giả định'!$C$7*(1+'3_Giả định'!$C$8)^0</f>
        <v>300</v>
      </c>
      <c r="D18" s="41">
        <f>'3_Giả định'!$C$7*(1+'3_Giả định'!$C$8)^1</f>
        <v>324</v>
      </c>
      <c r="E18" s="41">
        <f>'3_Giả định'!$C$7*(1+'3_Giả định'!$C$8)^2</f>
        <v>349.92</v>
      </c>
      <c r="F18" s="41">
        <f>'3_Giả định'!$C$7*(1+'3_Giả định'!$C$8)^3</f>
        <v>377.9136</v>
      </c>
      <c r="G18" s="41">
        <f>'3_Giả định'!$C$7*(1+'3_Giả định'!$C$8)^4</f>
        <v>408.146688</v>
      </c>
      <c r="H18" s="41">
        <f>'3_Giả định'!$C$7*(1+'3_Giả định'!$C$8)^5</f>
        <v>440.79842304</v>
      </c>
      <c r="I18" s="41">
        <f>'3_Giả định'!$C$7*(1+'3_Giả định'!$C$8)^6</f>
        <v>476.0622968832</v>
      </c>
      <c r="J18" s="41">
        <f>'3_Giả định'!$C$7*(1+'3_Giả định'!$C$8)^7</f>
        <v>514.147280633856</v>
      </c>
      <c r="K18" s="41">
        <f>'3_Giả định'!$C$7*(1+'3_Giả định'!$C$8)^8</f>
        <v>555.279063084565</v>
      </c>
      <c r="L18" s="41">
        <f>'3_Giả định'!$C$7*(1+'3_Giả định'!$C$8)^9</f>
        <v>599.70138813133</v>
      </c>
      <c r="M18" s="41">
        <f>'3_Giả định'!$C$7*(1+'3_Giả định'!$C$8)^10</f>
        <v>647.677499181836</v>
      </c>
      <c r="N18" s="41">
        <f>'3_Giả định'!$C$7*(1+'3_Giả định'!$C$8)^11</f>
        <v>699.491699116383</v>
      </c>
      <c r="O18" s="41">
        <f>'3_Giả định'!$C$7*(1+'3_Giả định'!$C$8)^12</f>
        <v>755.451035045694</v>
      </c>
      <c r="P18" s="41">
        <f>'3_Giả định'!$C$7*(1+'3_Giả định'!$C$8)^13</f>
        <v>815.88711784935</v>
      </c>
      <c r="Q18" s="41">
        <f>'3_Giả định'!$C$7*(1+'3_Giả định'!$C$8)^14</f>
        <v>881.158087277298</v>
      </c>
      <c r="R18" s="41">
        <f>'3_Giả định'!$C$7*(1+'3_Giả định'!$C$8)^15</f>
        <v>951.650734259482</v>
      </c>
      <c r="S18" s="41">
        <f>'3_Giả định'!$C$7*(1+'3_Giả định'!$C$8)^16</f>
        <v>1027.78279300024</v>
      </c>
      <c r="T18" s="41">
        <f>'3_Giả định'!$C$7*(1+'3_Giả định'!$C$8)^17</f>
        <v>1110.00541644026</v>
      </c>
      <c r="U18" s="41">
        <f>'3_Giả định'!$C$7*(1+'3_Giả định'!$C$8)^18</f>
        <v>1198.80584975548</v>
      </c>
      <c r="V18" s="41">
        <f>'3_Giả định'!$C$7*(1+'3_Giả định'!$C$8)^19</f>
        <v>1294.71031773592</v>
      </c>
      <c r="W18" s="41">
        <f>'3_Giả định'!$C$7*(1+'3_Giả định'!$C$8)^20</f>
        <v>1398.28714315479</v>
      </c>
      <c r="X18" s="41">
        <f>'3_Giả định'!$C$7*(1+'3_Giả định'!$C$8)^21</f>
        <v>1510.15011460718</v>
      </c>
      <c r="Y18" s="41">
        <f>'3_Giả định'!$C$7*(1+'3_Giả định'!$C$8)^22</f>
        <v>1630.96212377575</v>
      </c>
      <c r="Z18" s="41">
        <f>'3_Giả định'!$C$7*(1+'3_Giả định'!$C$8)^23</f>
        <v>1761.43909367781</v>
      </c>
    </row>
    <row r="19" ht="15" customHeight="1" spans="1:26">
      <c r="A19" s="12" t="s">
        <v>367</v>
      </c>
      <c r="B19" s="1">
        <v>0</v>
      </c>
      <c r="C19" s="41">
        <f>B19*(1-'3_Giả định'!$C$9)+C18</f>
        <v>300</v>
      </c>
      <c r="D19" s="41">
        <f>C19*(1-'3_Giả định'!$C$9)+D18</f>
        <v>579</v>
      </c>
      <c r="E19" s="41">
        <f>D19*(1-'3_Giả định'!$C$9)+E18</f>
        <v>842.07</v>
      </c>
      <c r="F19" s="41">
        <f>E19*(1-'3_Giả định'!$C$9)+F18</f>
        <v>1093.6731</v>
      </c>
      <c r="G19" s="41">
        <f>F19*(1-'3_Giả định'!$C$9)+G18</f>
        <v>1337.768823</v>
      </c>
      <c r="H19" s="41">
        <f>G19*(1-'3_Giả định'!$C$9)+H18</f>
        <v>1577.90192259</v>
      </c>
      <c r="I19" s="41">
        <f>H19*(1-'3_Giả định'!$C$9)+I18</f>
        <v>1817.2789310847</v>
      </c>
      <c r="J19" s="41">
        <f>I19*(1-'3_Giả định'!$C$9)+J18</f>
        <v>2058.83437205585</v>
      </c>
      <c r="K19" s="41">
        <f>J19*(1-'3_Giả định'!$C$9)+K18</f>
        <v>2305.28827933204</v>
      </c>
      <c r="L19" s="41">
        <f>K19*(1-'3_Giả định'!$C$9)+L18</f>
        <v>2559.19642556356</v>
      </c>
      <c r="M19" s="41">
        <f>L19*(1-'3_Giả định'!$C$9)+M18</f>
        <v>2822.99446091086</v>
      </c>
      <c r="N19" s="41">
        <f>M19*(1-'3_Giả định'!$C$9)+N18</f>
        <v>3099.03699089062</v>
      </c>
      <c r="O19" s="41">
        <f>N19*(1-'3_Giả định'!$C$9)+O18</f>
        <v>3389.63247730272</v>
      </c>
      <c r="P19" s="41">
        <f>O19*(1-'3_Giả định'!$C$9)+P18</f>
        <v>3697.07472355666</v>
      </c>
      <c r="Q19" s="41">
        <f>P19*(1-'3_Giả định'!$C$9)+Q18</f>
        <v>4023.67160230046</v>
      </c>
      <c r="R19" s="41">
        <f>Q19*(1-'3_Giả định'!$C$9)+R18</f>
        <v>4371.77159621487</v>
      </c>
      <c r="S19" s="41">
        <f>R19*(1-'3_Giả định'!$C$9)+S18</f>
        <v>4743.78864978288</v>
      </c>
      <c r="T19" s="41">
        <f>S19*(1-'3_Giả định'!$C$9)+T18</f>
        <v>5142.22576875571</v>
      </c>
      <c r="U19" s="41">
        <f>T19*(1-'3_Giả định'!$C$9)+U18</f>
        <v>5569.69775319783</v>
      </c>
      <c r="V19" s="41">
        <f>U19*(1-'3_Giả định'!$C$9)+V18</f>
        <v>6028.95340795408</v>
      </c>
      <c r="W19" s="41">
        <f>V19*(1-'3_Giả định'!$C$9)+W18</f>
        <v>6522.89753991576</v>
      </c>
      <c r="X19" s="41">
        <f>W19*(1-'3_Giả định'!$C$9)+X18</f>
        <v>7054.61302353557</v>
      </c>
      <c r="Y19" s="41">
        <f>X19*(1-'3_Giả định'!$C$9)+Y18</f>
        <v>7627.38319378098</v>
      </c>
      <c r="Z19" s="41">
        <f>Y19*(1-'3_Giả định'!$C$9)+Z18</f>
        <v>8244.71480839165</v>
      </c>
    </row>
    <row r="20" ht="15" customHeight="1" spans="1:26">
      <c r="A20" s="12" t="s">
        <v>92</v>
      </c>
      <c r="C20" s="42">
        <f>C19*'3_Giả định'!$C$17</f>
        <v>41850000</v>
      </c>
      <c r="D20" s="42">
        <f>D19*'3_Giả định'!$C$17</f>
        <v>80770500</v>
      </c>
      <c r="E20" s="42">
        <f>E19*'3_Giả định'!$C$17</f>
        <v>117468765</v>
      </c>
      <c r="F20" s="42">
        <f>F19*'3_Giả định'!$C$17</f>
        <v>152567397.45</v>
      </c>
      <c r="G20" s="42">
        <f>G19*'3_Giả định'!$C$17</f>
        <v>186618750.8085</v>
      </c>
      <c r="H20" s="42">
        <f>H19*'3_Giả định'!$C$17</f>
        <v>220117318.201305</v>
      </c>
      <c r="I20" s="42">
        <f>I19*'3_Giả định'!$C$17</f>
        <v>253510410.886316</v>
      </c>
      <c r="J20" s="42">
        <f>J19*'3_Giả định'!$C$17</f>
        <v>287207394.901791</v>
      </c>
      <c r="K20" s="42">
        <f>K19*'3_Giả định'!$C$17</f>
        <v>321587714.966819</v>
      </c>
      <c r="L20" s="42">
        <f>L19*'3_Giả định'!$C$17</f>
        <v>357007901.366117</v>
      </c>
      <c r="M20" s="42">
        <f>M19*'3_Giả định'!$C$17</f>
        <v>393807727.297066</v>
      </c>
      <c r="N20" s="42">
        <f>N19*'3_Giả định'!$C$17</f>
        <v>432315660.229241</v>
      </c>
      <c r="O20" s="42">
        <f>O19*'3_Giả định'!$C$17</f>
        <v>472853730.583729</v>
      </c>
      <c r="P20" s="42">
        <f>P19*'3_Giả định'!$C$17</f>
        <v>515741923.936154</v>
      </c>
      <c r="Q20" s="42">
        <f>Q19*'3_Giả định'!$C$17</f>
        <v>561302188.520914</v>
      </c>
      <c r="R20" s="42">
        <f>R19*'3_Giả định'!$C$17</f>
        <v>609862137.671975</v>
      </c>
      <c r="S20" s="42">
        <f>S19*'3_Giả định'!$C$17</f>
        <v>661758516.644712</v>
      </c>
      <c r="T20" s="42">
        <f>T19*'3_Giả định'!$C$17</f>
        <v>717340494.741421</v>
      </c>
      <c r="U20" s="42">
        <f>U19*'3_Giả định'!$C$17</f>
        <v>776972836.571098</v>
      </c>
      <c r="V20" s="42">
        <f>V19*'3_Giả định'!$C$17</f>
        <v>841039000.409594</v>
      </c>
      <c r="W20" s="42">
        <f>W19*'3_Giả định'!$C$17</f>
        <v>909944206.818248</v>
      </c>
      <c r="X20" s="42">
        <f>X19*'3_Giả định'!$C$17</f>
        <v>984118516.783212</v>
      </c>
      <c r="Y20" s="42">
        <f>Y19*'3_Giả định'!$C$17</f>
        <v>1064019955.53245</v>
      </c>
      <c r="Z20" s="42">
        <f>Z19*'3_Giả định'!$C$17</f>
        <v>1150137715.77063</v>
      </c>
    </row>
    <row r="21" ht="15" customHeight="1" spans="1:26">
      <c r="A21" s="12" t="s">
        <v>368</v>
      </c>
      <c r="C21" s="42">
        <f>C19*'3_Giả định'!$C$18</f>
        <v>4409897.952</v>
      </c>
      <c r="D21" s="42">
        <f>D19*'3_Giả định'!$C$18</f>
        <v>8511103.04736</v>
      </c>
      <c r="E21" s="42">
        <f>E19*'3_Giả định'!$C$18</f>
        <v>12378142.5614688</v>
      </c>
      <c r="F21" s="42">
        <f>F19*'3_Giả định'!$C$18</f>
        <v>16076622.5461583</v>
      </c>
      <c r="G21" s="42">
        <f>G19*'3_Giả định'!$C$18</f>
        <v>19664746.6426572</v>
      </c>
      <c r="H21" s="42">
        <f>H19*'3_Giả định'!$C$18</f>
        <v>23194621.522955</v>
      </c>
      <c r="I21" s="42">
        <f>I19*'3_Giả định'!$C$18</f>
        <v>26713382.1213439</v>
      </c>
      <c r="J21" s="42">
        <f>J19*'3_Giả định'!$C$18</f>
        <v>30264164.936121</v>
      </c>
      <c r="K21" s="42">
        <f>K19*'3_Giả định'!$C$18</f>
        <v>33886953.5393199</v>
      </c>
      <c r="L21" s="42">
        <f>L19*'3_Giả định'!$C$18</f>
        <v>37619316.9195283</v>
      </c>
      <c r="M21" s="42">
        <f>M19*'3_Giả định'!$C$18</f>
        <v>41497058.3055939</v>
      </c>
      <c r="N21" s="42">
        <f>N19*'3_Giả định'!$C$18</f>
        <v>45554789.5976693</v>
      </c>
      <c r="O21" s="42">
        <f>O19*'3_Giả định'!$C$18</f>
        <v>49826444.3989665</v>
      </c>
      <c r="P21" s="42">
        <f>P19*'3_Giả định'!$C$18</f>
        <v>54345740.839345</v>
      </c>
      <c r="Q21" s="42">
        <f>Q19*'3_Giả định'!$C$18</f>
        <v>59146603.8616845</v>
      </c>
      <c r="R21" s="42">
        <f>R19*'3_Giả định'!$C$18</f>
        <v>64263555.3625325</v>
      </c>
      <c r="S21" s="42">
        <f>S19*'3_Giả định'!$C$18</f>
        <v>69732079.5046612</v>
      </c>
      <c r="T21" s="42">
        <f>T19*'3_Giả định'!$C$18</f>
        <v>75588969.6211914</v>
      </c>
      <c r="U21" s="42">
        <f>U19*'3_Giả định'!$C$18</f>
        <v>81872662.3836204</v>
      </c>
      <c r="V21" s="42">
        <f>V19*'3_Giả định'!$C$18</f>
        <v>88623564.2881337</v>
      </c>
      <c r="W21" s="42">
        <f>W19*'3_Giả định'!$C$18</f>
        <v>95884375.0079345</v>
      </c>
      <c r="X21" s="42">
        <f>X19*'3_Giả định'!$C$18</f>
        <v>103700411.748807</v>
      </c>
      <c r="Y21" s="42">
        <f>Y19*'3_Giả định'!$C$18</f>
        <v>112119938.417913</v>
      </c>
      <c r="Z21" s="42">
        <f>Z19*'3_Giả định'!$C$18</f>
        <v>121194503.161168</v>
      </c>
    </row>
    <row r="22" ht="15" customHeight="1" spans="1:26">
      <c r="A22" s="12" t="s">
        <v>94</v>
      </c>
      <c r="C22" s="42">
        <f t="shared" ref="C22:Z22" si="4">C20-C21</f>
        <v>37440102.048</v>
      </c>
      <c r="D22" s="42">
        <f t="shared" si="4"/>
        <v>72259396.95264</v>
      </c>
      <c r="E22" s="42">
        <f t="shared" si="4"/>
        <v>105090622.438531</v>
      </c>
      <c r="F22" s="42">
        <f t="shared" si="4"/>
        <v>136490774.903842</v>
      </c>
      <c r="G22" s="42">
        <f t="shared" si="4"/>
        <v>166954004.165843</v>
      </c>
      <c r="H22" s="42">
        <f t="shared" si="4"/>
        <v>196922696.67835</v>
      </c>
      <c r="I22" s="42">
        <f t="shared" si="4"/>
        <v>226797028.764972</v>
      </c>
      <c r="J22" s="42">
        <f t="shared" si="4"/>
        <v>256943229.96567</v>
      </c>
      <c r="K22" s="42">
        <f t="shared" si="4"/>
        <v>287700761.4275</v>
      </c>
      <c r="L22" s="42">
        <f t="shared" si="4"/>
        <v>319388584.446589</v>
      </c>
      <c r="M22" s="42">
        <f t="shared" si="4"/>
        <v>352310668.991472</v>
      </c>
      <c r="N22" s="42">
        <f t="shared" si="4"/>
        <v>386760870.631572</v>
      </c>
      <c r="O22" s="42">
        <f t="shared" si="4"/>
        <v>423027286.184763</v>
      </c>
      <c r="P22" s="42">
        <f t="shared" si="4"/>
        <v>461396183.096809</v>
      </c>
      <c r="Q22" s="42">
        <f t="shared" si="4"/>
        <v>502155584.65923</v>
      </c>
      <c r="R22" s="42">
        <f t="shared" si="4"/>
        <v>545598582.309442</v>
      </c>
      <c r="S22" s="42">
        <f t="shared" si="4"/>
        <v>592026437.140051</v>
      </c>
      <c r="T22" s="42">
        <f t="shared" si="4"/>
        <v>641751525.12023</v>
      </c>
      <c r="U22" s="42">
        <f t="shared" si="4"/>
        <v>695100174.187477</v>
      </c>
      <c r="V22" s="42">
        <f t="shared" si="4"/>
        <v>752415436.12146</v>
      </c>
      <c r="W22" s="42">
        <f t="shared" si="4"/>
        <v>814059831.810314</v>
      </c>
      <c r="X22" s="42">
        <f t="shared" si="4"/>
        <v>880418105.034405</v>
      </c>
      <c r="Y22" s="42">
        <f t="shared" si="4"/>
        <v>951900017.114534</v>
      </c>
      <c r="Z22" s="42">
        <f t="shared" si="4"/>
        <v>1028943212.60947</v>
      </c>
    </row>
    <row r="23" ht="15" customHeight="1" spans="1:26">
      <c r="A23" s="12" t="s">
        <v>369</v>
      </c>
      <c r="C23" s="42">
        <f>C18*'3_Giả định'!$C$10</f>
        <v>210000000</v>
      </c>
      <c r="D23" s="42">
        <f>D18*'3_Giả định'!$C$10</f>
        <v>226800000</v>
      </c>
      <c r="E23" s="42">
        <f>E18*'3_Giả định'!$C$10</f>
        <v>244944000</v>
      </c>
      <c r="F23" s="42">
        <f>F18*'3_Giả định'!$C$10</f>
        <v>264539520</v>
      </c>
      <c r="G23" s="42">
        <f>G18*'3_Giả định'!$C$10</f>
        <v>285702681.6</v>
      </c>
      <c r="H23" s="42">
        <f>H18*'3_Giả định'!$C$10</f>
        <v>308558896.128</v>
      </c>
      <c r="I23" s="42">
        <f>I18*'3_Giả định'!$C$10</f>
        <v>333243607.81824</v>
      </c>
      <c r="J23" s="42">
        <f>J18*'3_Giả định'!$C$10</f>
        <v>359903096.443699</v>
      </c>
      <c r="K23" s="42">
        <f>K18*'3_Giả định'!$C$10</f>
        <v>388695344.159195</v>
      </c>
      <c r="L23" s="42">
        <f>L18*'3_Giả định'!$C$10</f>
        <v>419790971.691931</v>
      </c>
      <c r="M23" s="42">
        <f>M18*'3_Giả định'!$C$10</f>
        <v>453374249.427285</v>
      </c>
      <c r="N23" s="42">
        <f>N18*'3_Giả định'!$C$10</f>
        <v>489644189.381468</v>
      </c>
      <c r="O23" s="42">
        <f>O18*'3_Giả định'!$C$10</f>
        <v>528815724.531986</v>
      </c>
      <c r="P23" s="42">
        <f>P18*'3_Giả định'!$C$10</f>
        <v>571120982.494545</v>
      </c>
      <c r="Q23" s="42">
        <f>Q18*'3_Giả định'!$C$10</f>
        <v>616810661.094108</v>
      </c>
      <c r="R23" s="42">
        <f>R18*'3_Giả định'!$C$10</f>
        <v>666155513.981637</v>
      </c>
      <c r="S23" s="42">
        <f>S18*'3_Giả định'!$C$10</f>
        <v>719447955.100168</v>
      </c>
      <c r="T23" s="42">
        <f>T18*'3_Giả định'!$C$10</f>
        <v>777003791.508182</v>
      </c>
      <c r="U23" s="42">
        <f>U18*'3_Giả định'!$C$10</f>
        <v>839164094.828836</v>
      </c>
      <c r="V23" s="42">
        <f>V18*'3_Giả định'!$C$10</f>
        <v>906297222.415143</v>
      </c>
      <c r="W23" s="42">
        <f>W18*'3_Giả định'!$C$10</f>
        <v>978801000.208355</v>
      </c>
      <c r="X23" s="42">
        <f>X18*'3_Giả định'!$C$10</f>
        <v>1057105080.22502</v>
      </c>
      <c r="Y23" s="42">
        <f>Y18*'3_Giả định'!$C$10</f>
        <v>1141673486.64303</v>
      </c>
      <c r="Z23" s="42">
        <f>Z18*'3_Giả định'!$C$10</f>
        <v>1233007365.57447</v>
      </c>
    </row>
    <row r="24" ht="15" customHeight="1" spans="1:26">
      <c r="A24" s="12" t="s">
        <v>370</v>
      </c>
      <c r="C24" s="42">
        <f>'3_Giả định'!$C$11</f>
        <v>120000000</v>
      </c>
      <c r="D24" s="42">
        <f>'3_Giả định'!$C$11</f>
        <v>120000000</v>
      </c>
      <c r="E24" s="42">
        <f>'3_Giả định'!$C$11</f>
        <v>120000000</v>
      </c>
      <c r="F24" s="42">
        <f>'3_Giả định'!$C$11</f>
        <v>120000000</v>
      </c>
      <c r="G24" s="42">
        <f>'3_Giả định'!$C$11</f>
        <v>120000000</v>
      </c>
      <c r="H24" s="42">
        <f>'3_Giả định'!$C$11</f>
        <v>120000000</v>
      </c>
      <c r="I24" s="42">
        <f>'3_Giả định'!$C$11</f>
        <v>120000000</v>
      </c>
      <c r="J24" s="42">
        <f>'3_Giả định'!$C$11</f>
        <v>120000000</v>
      </c>
      <c r="K24" s="42">
        <f>'3_Giả định'!$C$11</f>
        <v>120000000</v>
      </c>
      <c r="L24" s="42">
        <f>'3_Giả định'!$C$11</f>
        <v>120000000</v>
      </c>
      <c r="M24" s="42">
        <f>'3_Giả định'!$C$11</f>
        <v>120000000</v>
      </c>
      <c r="N24" s="42">
        <f>'3_Giả định'!$C$11</f>
        <v>120000000</v>
      </c>
      <c r="O24" s="42">
        <f>'3_Giả định'!$C$11</f>
        <v>120000000</v>
      </c>
      <c r="P24" s="42">
        <f>'3_Giả định'!$C$11</f>
        <v>120000000</v>
      </c>
      <c r="Q24" s="42">
        <f>'3_Giả định'!$C$11</f>
        <v>120000000</v>
      </c>
      <c r="R24" s="42">
        <f>'3_Giả định'!$C$11</f>
        <v>120000000</v>
      </c>
      <c r="S24" s="42">
        <f>'3_Giả định'!$C$11</f>
        <v>120000000</v>
      </c>
      <c r="T24" s="42">
        <f>'3_Giả định'!$C$11</f>
        <v>120000000</v>
      </c>
      <c r="U24" s="42">
        <f>'3_Giả định'!$C$11</f>
        <v>120000000</v>
      </c>
      <c r="V24" s="42">
        <f>'3_Giả định'!$C$11</f>
        <v>120000000</v>
      </c>
      <c r="W24" s="42">
        <f>'3_Giả định'!$C$11</f>
        <v>120000000</v>
      </c>
      <c r="X24" s="42">
        <f>'3_Giả định'!$C$11</f>
        <v>120000000</v>
      </c>
      <c r="Y24" s="42">
        <f>'3_Giả định'!$C$11</f>
        <v>120000000</v>
      </c>
      <c r="Z24" s="42">
        <f>'3_Giả định'!$C$11</f>
        <v>120000000</v>
      </c>
    </row>
    <row r="25" ht="15" customHeight="1" spans="1:26">
      <c r="A25" s="12" t="s">
        <v>371</v>
      </c>
      <c r="B25" s="42">
        <f>-'3_Giả định'!$C$12</f>
        <v>-400000000</v>
      </c>
      <c r="C25" s="42">
        <f t="shared" ref="C25:Z25" si="5">C22-C23-C24</f>
        <v>-292559897.952</v>
      </c>
      <c r="D25" s="42">
        <f t="shared" si="5"/>
        <v>-274540603.04736</v>
      </c>
      <c r="E25" s="42">
        <f t="shared" si="5"/>
        <v>-259853377.561469</v>
      </c>
      <c r="F25" s="42">
        <f t="shared" si="5"/>
        <v>-248048745.096158</v>
      </c>
      <c r="G25" s="42">
        <f t="shared" si="5"/>
        <v>-238748677.434157</v>
      </c>
      <c r="H25" s="42">
        <f t="shared" si="5"/>
        <v>-231636199.44965</v>
      </c>
      <c r="I25" s="42">
        <f t="shared" si="5"/>
        <v>-226446579.053268</v>
      </c>
      <c r="J25" s="42">
        <f t="shared" si="5"/>
        <v>-222959866.478029</v>
      </c>
      <c r="K25" s="42">
        <f t="shared" si="5"/>
        <v>-220994582.731696</v>
      </c>
      <c r="L25" s="42">
        <f t="shared" si="5"/>
        <v>-220402387.245342</v>
      </c>
      <c r="M25" s="42">
        <f t="shared" si="5"/>
        <v>-221063580.435814</v>
      </c>
      <c r="N25" s="42">
        <f t="shared" si="5"/>
        <v>-222883318.749896</v>
      </c>
      <c r="O25" s="42">
        <f t="shared" si="5"/>
        <v>-225788438.347223</v>
      </c>
      <c r="P25" s="42">
        <f t="shared" si="5"/>
        <v>-229724799.397735</v>
      </c>
      <c r="Q25" s="42">
        <f t="shared" si="5"/>
        <v>-234655076.434879</v>
      </c>
      <c r="R25" s="42">
        <f t="shared" si="5"/>
        <v>-240556931.672195</v>
      </c>
      <c r="S25" s="42">
        <f t="shared" si="5"/>
        <v>-247421517.960117</v>
      </c>
      <c r="T25" s="42">
        <f t="shared" si="5"/>
        <v>-255252266.387952</v>
      </c>
      <c r="U25" s="42">
        <f t="shared" si="5"/>
        <v>-264063920.641359</v>
      </c>
      <c r="V25" s="42">
        <f t="shared" si="5"/>
        <v>-273881786.293683</v>
      </c>
      <c r="W25" s="42">
        <f t="shared" si="5"/>
        <v>-284741168.398041</v>
      </c>
      <c r="X25" s="42">
        <f t="shared" si="5"/>
        <v>-296686975.190618</v>
      </c>
      <c r="Y25" s="42">
        <f t="shared" si="5"/>
        <v>-309773469.528491</v>
      </c>
      <c r="Z25" s="42">
        <f t="shared" si="5"/>
        <v>-324064152.965</v>
      </c>
    </row>
    <row r="26" ht="15" customHeight="1" spans="1:26">
      <c r="A26" s="12" t="s">
        <v>372</v>
      </c>
      <c r="B26" s="42">
        <f>'3_Giả định'!$C$13+B25</f>
        <v>1100000000</v>
      </c>
      <c r="C26" s="42">
        <f t="shared" ref="C26:Z26" si="6">B26+C25</f>
        <v>807440102.048</v>
      </c>
      <c r="D26" s="42">
        <f t="shared" si="6"/>
        <v>532899499.00064</v>
      </c>
      <c r="E26" s="42">
        <f t="shared" si="6"/>
        <v>273046121.439171</v>
      </c>
      <c r="F26" s="42">
        <f t="shared" si="6"/>
        <v>24997376.3430128</v>
      </c>
      <c r="G26" s="42">
        <f t="shared" si="6"/>
        <v>-213751301.091144</v>
      </c>
      <c r="H26" s="42">
        <f t="shared" si="6"/>
        <v>-445387500.540794</v>
      </c>
      <c r="I26" s="42">
        <f t="shared" si="6"/>
        <v>-671834079.594063</v>
      </c>
      <c r="J26" s="42">
        <f t="shared" si="6"/>
        <v>-894793946.072092</v>
      </c>
      <c r="K26" s="42">
        <f t="shared" si="6"/>
        <v>-1115788528.80379</v>
      </c>
      <c r="L26" s="42">
        <f t="shared" si="6"/>
        <v>-1336190916.04913</v>
      </c>
      <c r="M26" s="42">
        <f t="shared" si="6"/>
        <v>-1557254496.48494</v>
      </c>
      <c r="N26" s="42">
        <f t="shared" si="6"/>
        <v>-1780137815.23484</v>
      </c>
      <c r="O26" s="42">
        <f t="shared" si="6"/>
        <v>-2005926253.58206</v>
      </c>
      <c r="P26" s="42">
        <f t="shared" si="6"/>
        <v>-2235651052.9798</v>
      </c>
      <c r="Q26" s="42">
        <f t="shared" si="6"/>
        <v>-2470306129.41468</v>
      </c>
      <c r="R26" s="42">
        <f t="shared" si="6"/>
        <v>-2710863061.08687</v>
      </c>
      <c r="S26" s="42">
        <f t="shared" si="6"/>
        <v>-2958284579.04699</v>
      </c>
      <c r="T26" s="42">
        <f t="shared" si="6"/>
        <v>-3213536845.43494</v>
      </c>
      <c r="U26" s="42">
        <f t="shared" si="6"/>
        <v>-3477600766.0763</v>
      </c>
      <c r="V26" s="42">
        <f t="shared" si="6"/>
        <v>-3751482552.36998</v>
      </c>
      <c r="W26" s="42">
        <f t="shared" si="6"/>
        <v>-4036223720.76802</v>
      </c>
      <c r="X26" s="42">
        <f t="shared" si="6"/>
        <v>-4332910695.95864</v>
      </c>
      <c r="Y26" s="42">
        <f t="shared" si="6"/>
        <v>-4642684165.48713</v>
      </c>
      <c r="Z26" s="42">
        <f t="shared" si="6"/>
        <v>-4966748318.45213</v>
      </c>
    </row>
    <row r="27" ht="15" customHeight="1" spans="1:26">
      <c r="A27" s="12" t="s">
        <v>373</v>
      </c>
      <c r="B27" s="42">
        <f>B25</f>
        <v>-400000000</v>
      </c>
      <c r="C27" s="42">
        <f t="shared" ref="C27:Z27" si="7">B27+C25</f>
        <v>-692559897.952</v>
      </c>
      <c r="D27" s="42">
        <f t="shared" si="7"/>
        <v>-967100500.99936</v>
      </c>
      <c r="E27" s="42">
        <f t="shared" si="7"/>
        <v>-1226953878.56083</v>
      </c>
      <c r="F27" s="42">
        <f t="shared" si="7"/>
        <v>-1475002623.65699</v>
      </c>
      <c r="G27" s="42">
        <f t="shared" si="7"/>
        <v>-1713751301.09114</v>
      </c>
      <c r="H27" s="42">
        <f t="shared" si="7"/>
        <v>-1945387500.54079</v>
      </c>
      <c r="I27" s="42">
        <f t="shared" si="7"/>
        <v>-2171834079.59406</v>
      </c>
      <c r="J27" s="42">
        <f t="shared" si="7"/>
        <v>-2394793946.07209</v>
      </c>
      <c r="K27" s="42">
        <f t="shared" si="7"/>
        <v>-2615788528.80379</v>
      </c>
      <c r="L27" s="42">
        <f t="shared" si="7"/>
        <v>-2836190916.04913</v>
      </c>
      <c r="M27" s="42">
        <f t="shared" si="7"/>
        <v>-3057254496.48494</v>
      </c>
      <c r="N27" s="42">
        <f t="shared" si="7"/>
        <v>-3280137815.23484</v>
      </c>
      <c r="O27" s="42">
        <f t="shared" si="7"/>
        <v>-3505926253.58206</v>
      </c>
      <c r="P27" s="42">
        <f t="shared" si="7"/>
        <v>-3735651052.9798</v>
      </c>
      <c r="Q27" s="42">
        <f t="shared" si="7"/>
        <v>-3970306129.41468</v>
      </c>
      <c r="R27" s="42">
        <f t="shared" si="7"/>
        <v>-4210863061.08687</v>
      </c>
      <c r="S27" s="42">
        <f t="shared" si="7"/>
        <v>-4458284579.04699</v>
      </c>
      <c r="T27" s="42">
        <f t="shared" si="7"/>
        <v>-4713536845.43494</v>
      </c>
      <c r="U27" s="42">
        <f t="shared" si="7"/>
        <v>-4977600766.0763</v>
      </c>
      <c r="V27" s="42">
        <f t="shared" si="7"/>
        <v>-5251482552.36998</v>
      </c>
      <c r="W27" s="42">
        <f t="shared" si="7"/>
        <v>-5536223720.76802</v>
      </c>
      <c r="X27" s="42">
        <f t="shared" si="7"/>
        <v>-5832910695.95864</v>
      </c>
      <c r="Y27" s="42">
        <f t="shared" si="7"/>
        <v>-6142684165.48713</v>
      </c>
      <c r="Z27" s="42">
        <f t="shared" si="7"/>
        <v>-6466748318.45213</v>
      </c>
    </row>
    <row r="29" ht="15" customHeight="1" spans="1:26">
      <c r="A29" s="40" t="s">
        <v>375</v>
      </c>
    </row>
    <row r="30" ht="15" customHeight="1" spans="1:26">
      <c r="A30" s="12" t="s">
        <v>366</v>
      </c>
      <c r="C30" s="41">
        <f>'3_Giả định'!$D$7*(1+'3_Giả định'!$D$8)^0</f>
        <v>150</v>
      </c>
      <c r="D30" s="41">
        <f>'3_Giả định'!$D$7*(1+'3_Giả định'!$D$8)^1</f>
        <v>154.8</v>
      </c>
      <c r="E30" s="41">
        <f>'3_Giả định'!$D$7*(1+'3_Giả định'!$D$8)^2</f>
        <v>159.7536</v>
      </c>
      <c r="F30" s="41">
        <f>'3_Giả định'!$D$7*(1+'3_Giả định'!$D$8)^3</f>
        <v>164.8657152</v>
      </c>
      <c r="G30" s="41">
        <f>'3_Giả định'!$D$7*(1+'3_Giả định'!$D$8)^4</f>
        <v>170.1414180864</v>
      </c>
      <c r="H30" s="41">
        <f>'3_Giả định'!$D$7*(1+'3_Giả định'!$D$8)^5</f>
        <v>175.585943465165</v>
      </c>
      <c r="I30" s="41">
        <f>'3_Giả định'!$D$7*(1+'3_Giả định'!$D$8)^6</f>
        <v>181.20469365605</v>
      </c>
      <c r="J30" s="41">
        <f>'3_Giả định'!$D$7*(1+'3_Giả định'!$D$8)^7</f>
        <v>187.003243853044</v>
      </c>
      <c r="K30" s="41">
        <f>'3_Giả định'!$D$7*(1+'3_Giả định'!$D$8)^8</f>
        <v>192.987347656341</v>
      </c>
      <c r="L30" s="41">
        <f>'3_Giả định'!$D$7*(1+'3_Giả định'!$D$8)^9</f>
        <v>199.162942781344</v>
      </c>
      <c r="M30" s="41">
        <f>'3_Giả định'!$D$7*(1+'3_Giả định'!$D$8)^10</f>
        <v>205.536156950347</v>
      </c>
      <c r="N30" s="41">
        <f>'3_Giả định'!$D$7*(1+'3_Giả định'!$D$8)^11</f>
        <v>212.113313972758</v>
      </c>
      <c r="O30" s="41">
        <f>'3_Giả định'!$D$7*(1+'3_Giả định'!$D$8)^12</f>
        <v>218.900940019886</v>
      </c>
      <c r="P30" s="41">
        <f>'3_Giả định'!$D$7*(1+'3_Giả định'!$D$8)^13</f>
        <v>225.905770100523</v>
      </c>
      <c r="Q30" s="41">
        <f>'3_Giả định'!$D$7*(1+'3_Giả định'!$D$8)^14</f>
        <v>233.13475474374</v>
      </c>
      <c r="R30" s="41">
        <f>'3_Giả định'!$D$7*(1+'3_Giả định'!$D$8)^15</f>
        <v>240.595066895539</v>
      </c>
      <c r="S30" s="41">
        <f>'3_Giả định'!$D$7*(1+'3_Giả định'!$D$8)^16</f>
        <v>248.294109036196</v>
      </c>
      <c r="T30" s="41">
        <f>'3_Giả định'!$D$7*(1+'3_Giả định'!$D$8)^17</f>
        <v>256.239520525355</v>
      </c>
      <c r="U30" s="41">
        <f>'3_Giả định'!$D$7*(1+'3_Giả định'!$D$8)^18</f>
        <v>264.439185182166</v>
      </c>
      <c r="V30" s="41">
        <f>'3_Giả định'!$D$7*(1+'3_Giả định'!$D$8)^19</f>
        <v>272.901239107995</v>
      </c>
      <c r="W30" s="41">
        <f>'3_Giả định'!$D$7*(1+'3_Giả định'!$D$8)^20</f>
        <v>281.634078759451</v>
      </c>
      <c r="X30" s="41">
        <f>'3_Giả định'!$D$7*(1+'3_Giả định'!$D$8)^21</f>
        <v>290.646369279754</v>
      </c>
      <c r="Y30" s="41">
        <f>'3_Giả định'!$D$7*(1+'3_Giả định'!$D$8)^22</f>
        <v>299.947053096706</v>
      </c>
      <c r="Z30" s="41">
        <f>'3_Giả định'!$D$7*(1+'3_Giả định'!$D$8)^23</f>
        <v>309.5453587958</v>
      </c>
    </row>
    <row r="31" ht="15" customHeight="1" spans="1:26">
      <c r="A31" s="12" t="s">
        <v>367</v>
      </c>
      <c r="B31" s="1">
        <v>0</v>
      </c>
      <c r="C31" s="41">
        <f>B31*(1-'3_Giả định'!$D$9)+C30</f>
        <v>150</v>
      </c>
      <c r="D31" s="41">
        <f>C31*(1-'3_Giả định'!$D$9)+D30</f>
        <v>268.8</v>
      </c>
      <c r="E31" s="41">
        <f>D31*(1-'3_Giả định'!$D$9)+E30</f>
        <v>364.0416</v>
      </c>
      <c r="F31" s="41">
        <f>E31*(1-'3_Giả định'!$D$9)+F30</f>
        <v>441.5373312</v>
      </c>
      <c r="G31" s="41">
        <f>F31*(1-'3_Giả định'!$D$9)+G30</f>
        <v>505.7097897984</v>
      </c>
      <c r="H31" s="41">
        <f>G31*(1-'3_Giả định'!$D$9)+H30</f>
        <v>559.925383711949</v>
      </c>
      <c r="I31" s="41">
        <f>H31*(1-'3_Giả định'!$D$9)+I30</f>
        <v>606.747985277131</v>
      </c>
      <c r="J31" s="41">
        <f>I31*(1-'3_Giả định'!$D$9)+J30</f>
        <v>648.131712663663</v>
      </c>
      <c r="K31" s="41">
        <f>J31*(1-'3_Giả định'!$D$9)+K30</f>
        <v>685.567449280725</v>
      </c>
      <c r="L31" s="41">
        <f>K31*(1-'3_Giả định'!$D$9)+L30</f>
        <v>720.194204234695</v>
      </c>
      <c r="M31" s="41">
        <f>L31*(1-'3_Giả định'!$D$9)+M30</f>
        <v>752.883752168715</v>
      </c>
      <c r="N31" s="41">
        <f>M31*(1-'3_Giả định'!$D$9)+N30</f>
        <v>784.304965620982</v>
      </c>
      <c r="O31" s="41">
        <f>N31*(1-'3_Giả định'!$D$9)+O30</f>
        <v>814.972713891833</v>
      </c>
      <c r="P31" s="41">
        <f>O31*(1-'3_Giả định'!$D$9)+P30</f>
        <v>845.285032658316</v>
      </c>
      <c r="Q31" s="41">
        <f>P31*(1-'3_Giả định'!$D$9)+Q30</f>
        <v>875.55137956406</v>
      </c>
      <c r="R31" s="41">
        <f>Q31*(1-'3_Giả định'!$D$9)+R30</f>
        <v>906.014115364224</v>
      </c>
      <c r="S31" s="41">
        <f>R31*(1-'3_Giả định'!$D$9)+S30</f>
        <v>936.864836713007</v>
      </c>
      <c r="T31" s="41">
        <f>S31*(1-'3_Giả định'!$D$9)+T30</f>
        <v>968.25679642724</v>
      </c>
      <c r="U31" s="41">
        <f>T31*(1-'3_Giả định'!$D$9)+U30</f>
        <v>1000.31435046687</v>
      </c>
      <c r="V31" s="41">
        <f>U31*(1-'3_Giả định'!$D$9)+V30</f>
        <v>1033.14014546282</v>
      </c>
      <c r="W31" s="41">
        <f>V31*(1-'3_Giả định'!$D$9)+W30</f>
        <v>1066.82058931119</v>
      </c>
      <c r="X31" s="41">
        <f>W31*(1-'3_Giả định'!$D$9)+X30</f>
        <v>1101.43001715626</v>
      </c>
      <c r="Y31" s="41">
        <f>X31*(1-'3_Giả định'!$D$9)+Y30</f>
        <v>1137.03386613546</v>
      </c>
      <c r="Z31" s="41">
        <f>Y31*(1-'3_Giả định'!$D$9)+Z30</f>
        <v>1173.69109705875</v>
      </c>
    </row>
    <row r="32" ht="15" customHeight="1" spans="1:26">
      <c r="A32" s="12" t="s">
        <v>92</v>
      </c>
      <c r="C32" s="42">
        <f>C31*'3_Giả định'!$D$17</f>
        <v>16740000</v>
      </c>
      <c r="D32" s="42">
        <f>D31*'3_Giả định'!$D$17</f>
        <v>29998080</v>
      </c>
      <c r="E32" s="42">
        <f>E31*'3_Giả định'!$D$17</f>
        <v>40627042.56</v>
      </c>
      <c r="F32" s="42">
        <f>F31*'3_Giả định'!$D$17</f>
        <v>49275566.16192</v>
      </c>
      <c r="G32" s="42">
        <f>G31*'3_Giả định'!$D$17</f>
        <v>56437212.5415014</v>
      </c>
      <c r="H32" s="42">
        <f>H31*'3_Giả định'!$D$17</f>
        <v>62487672.8222535</v>
      </c>
      <c r="I32" s="42">
        <f>I31*'3_Giả định'!$D$17</f>
        <v>67713075.1569278</v>
      </c>
      <c r="J32" s="42">
        <f>J31*'3_Giả định'!$D$17</f>
        <v>72331499.1332648</v>
      </c>
      <c r="K32" s="42">
        <f>K31*'3_Giả định'!$D$17</f>
        <v>76509327.339729</v>
      </c>
      <c r="L32" s="42">
        <f>L31*'3_Giả định'!$D$17</f>
        <v>80373673.192592</v>
      </c>
      <c r="M32" s="42">
        <f>M31*'3_Giả định'!$D$17</f>
        <v>84021826.7420286</v>
      </c>
      <c r="N32" s="42">
        <f>N31*'3_Giả định'!$D$17</f>
        <v>87528434.1633016</v>
      </c>
      <c r="O32" s="42">
        <f>O31*'3_Giả định'!$D$17</f>
        <v>90950954.8703285</v>
      </c>
      <c r="P32" s="42">
        <f>P31*'3_Giả định'!$D$17</f>
        <v>94333809.644668</v>
      </c>
      <c r="Q32" s="42">
        <f>Q31*'3_Giả định'!$D$17</f>
        <v>97711533.959349</v>
      </c>
      <c r="R32" s="42">
        <f>R31*'3_Giả định'!$D$17</f>
        <v>101111175.274647</v>
      </c>
      <c r="S32" s="42">
        <f>S31*'3_Giả định'!$D$17</f>
        <v>104554115.777172</v>
      </c>
      <c r="T32" s="42">
        <f>T31*'3_Giả định'!$D$17</f>
        <v>108057458.48128</v>
      </c>
      <c r="U32" s="42">
        <f>U31*'3_Giả định'!$D$17</f>
        <v>111635081.512103</v>
      </c>
      <c r="V32" s="42">
        <f>V31*'3_Giả định'!$D$17</f>
        <v>115298440.23365</v>
      </c>
      <c r="W32" s="42">
        <f>W31*'3_Giả định'!$D$17</f>
        <v>119057177.767129</v>
      </c>
      <c r="X32" s="42">
        <f>X31*'3_Giả định'!$D$17</f>
        <v>122919589.914639</v>
      </c>
      <c r="Y32" s="42">
        <f>Y31*'3_Giả định'!$D$17</f>
        <v>126892979.460718</v>
      </c>
      <c r="Z32" s="42">
        <f>Z31*'3_Giả định'!$D$17</f>
        <v>130983926.431757</v>
      </c>
    </row>
    <row r="33" ht="15" customHeight="1" spans="1:26">
      <c r="A33" s="12" t="s">
        <v>368</v>
      </c>
      <c r="C33" s="42">
        <f>C31*'3_Giả định'!$D$18</f>
        <v>2645938.7712</v>
      </c>
      <c r="D33" s="42">
        <f>D31*'3_Giả định'!$D$18</f>
        <v>4741522.2779904</v>
      </c>
      <c r="E33" s="42">
        <f>E31*'3_Giả định'!$D$18</f>
        <v>6421545.22513121</v>
      </c>
      <c r="F33" s="42">
        <f>F31*'3_Giả định'!$D$18</f>
        <v>7788538.2903617</v>
      </c>
      <c r="G33" s="42">
        <f>G31*'3_Giả định'!$D$18</f>
        <v>8920514.26535326</v>
      </c>
      <c r="H33" s="42">
        <f>H31*'3_Giả định'!$D$18</f>
        <v>9876855.21161655</v>
      </c>
      <c r="I33" s="42">
        <f>I31*'3_Giả định'!$D$18</f>
        <v>10702786.790615</v>
      </c>
      <c r="J33" s="42">
        <f>J31*'3_Giả định'!$D$18</f>
        <v>11432778.849207</v>
      </c>
      <c r="K33" s="42">
        <f>K31*'3_Giả định'!$D$18</f>
        <v>12093129.9621637</v>
      </c>
      <c r="L33" s="42">
        <f>L31*'3_Giả định'!$D$18</f>
        <v>12703931.7851874</v>
      </c>
      <c r="M33" s="42">
        <f>M31*'3_Giả định'!$D$18</f>
        <v>13280562.0671316</v>
      </c>
      <c r="N33" s="42">
        <f>N31*'3_Giả định'!$D$18</f>
        <v>13834819.4465416</v>
      </c>
      <c r="O33" s="42">
        <f>O31*'3_Giả định'!$D$18</f>
        <v>14375786.0077099</v>
      </c>
      <c r="P33" s="42">
        <f>P31*'3_Giả định'!$D$18</f>
        <v>14910482.9375046</v>
      </c>
      <c r="Q33" s="42">
        <f>Q31*'3_Giả định'!$D$18</f>
        <v>15444368.9424413</v>
      </c>
      <c r="R33" s="42">
        <f>R31*'3_Giả định'!$D$18</f>
        <v>15981719.1673111</v>
      </c>
      <c r="S33" s="42">
        <f>S31*'3_Giả định'!$D$18</f>
        <v>16525913.298886</v>
      </c>
      <c r="T33" s="42">
        <f>T31*'3_Giả định'!$D$18</f>
        <v>17079654.6542983</v>
      </c>
      <c r="U33" s="42">
        <f>U31*'3_Giả định'!$D$18</f>
        <v>17645136.8219202</v>
      </c>
      <c r="V33" s="42">
        <f>V31*'3_Giả định'!$D$18</f>
        <v>18224170.4464218</v>
      </c>
      <c r="W33" s="42">
        <f>W31*'3_Giả định'!$D$18</f>
        <v>18818279.7278194</v>
      </c>
      <c r="X33" s="42">
        <f>X31*'3_Giả định'!$D$18</f>
        <v>19428775.9077148</v>
      </c>
      <c r="Y33" s="42">
        <f>Y31*'3_Giả định'!$D$18</f>
        <v>20056813.2705017</v>
      </c>
      <c r="Z33" s="42">
        <f>Z31*'3_Giả định'!$D$18</f>
        <v>20703431.8608001</v>
      </c>
    </row>
    <row r="34" ht="15" customHeight="1" spans="1:26">
      <c r="A34" s="12" t="s">
        <v>94</v>
      </c>
      <c r="C34" s="42">
        <f t="shared" ref="C34:Z34" si="8">C32-C33</f>
        <v>14094061.2288</v>
      </c>
      <c r="D34" s="42">
        <f t="shared" si="8"/>
        <v>25256557.7220096</v>
      </c>
      <c r="E34" s="42">
        <f t="shared" si="8"/>
        <v>34205497.3348688</v>
      </c>
      <c r="F34" s="42">
        <f t="shared" si="8"/>
        <v>41487027.8715583</v>
      </c>
      <c r="G34" s="42">
        <f t="shared" si="8"/>
        <v>47516698.2761482</v>
      </c>
      <c r="H34" s="42">
        <f t="shared" si="8"/>
        <v>52610817.6106369</v>
      </c>
      <c r="I34" s="42">
        <f t="shared" si="8"/>
        <v>57010288.3663128</v>
      </c>
      <c r="J34" s="42">
        <f t="shared" si="8"/>
        <v>60898720.2840579</v>
      </c>
      <c r="K34" s="42">
        <f t="shared" si="8"/>
        <v>64416197.3775652</v>
      </c>
      <c r="L34" s="42">
        <f t="shared" si="8"/>
        <v>67669741.4074046</v>
      </c>
      <c r="M34" s="42">
        <f t="shared" si="8"/>
        <v>70741264.6748971</v>
      </c>
      <c r="N34" s="42">
        <f t="shared" si="8"/>
        <v>73693614.71676</v>
      </c>
      <c r="O34" s="42">
        <f t="shared" si="8"/>
        <v>76575168.8626186</v>
      </c>
      <c r="P34" s="42">
        <f t="shared" si="8"/>
        <v>79423326.7071634</v>
      </c>
      <c r="Q34" s="42">
        <f t="shared" si="8"/>
        <v>82267165.0169078</v>
      </c>
      <c r="R34" s="42">
        <f t="shared" si="8"/>
        <v>85129456.1073363</v>
      </c>
      <c r="S34" s="42">
        <f t="shared" si="8"/>
        <v>88028202.4782856</v>
      </c>
      <c r="T34" s="42">
        <f t="shared" si="8"/>
        <v>90977803.8269817</v>
      </c>
      <c r="U34" s="42">
        <f t="shared" si="8"/>
        <v>93989944.6901823</v>
      </c>
      <c r="V34" s="42">
        <f t="shared" si="8"/>
        <v>97074269.7872284</v>
      </c>
      <c r="W34" s="42">
        <f t="shared" si="8"/>
        <v>100238898.03931</v>
      </c>
      <c r="X34" s="42">
        <f t="shared" si="8"/>
        <v>103490814.006924</v>
      </c>
      <c r="Y34" s="42">
        <f t="shared" si="8"/>
        <v>106836166.190216</v>
      </c>
      <c r="Z34" s="42">
        <f t="shared" si="8"/>
        <v>110280494.570957</v>
      </c>
    </row>
    <row r="35" ht="15" customHeight="1" spans="1:26">
      <c r="A35" s="12" t="s">
        <v>369</v>
      </c>
      <c r="C35" s="42">
        <f>C30*'3_Giả định'!$D$10</f>
        <v>157500000</v>
      </c>
      <c r="D35" s="42">
        <f>D30*'3_Giả định'!$D$10</f>
        <v>162540000</v>
      </c>
      <c r="E35" s="42">
        <f>E30*'3_Giả định'!$D$10</f>
        <v>167741280</v>
      </c>
      <c r="F35" s="42">
        <f>F30*'3_Giả định'!$D$10</f>
        <v>173109000.96</v>
      </c>
      <c r="G35" s="42">
        <f>G30*'3_Giả định'!$D$10</f>
        <v>178648488.99072</v>
      </c>
      <c r="H35" s="42">
        <f>H30*'3_Giả định'!$D$10</f>
        <v>184365240.638423</v>
      </c>
      <c r="I35" s="42">
        <f>I30*'3_Giả định'!$D$10</f>
        <v>190264928.338853</v>
      </c>
      <c r="J35" s="42">
        <f>J30*'3_Giả định'!$D$10</f>
        <v>196353406.045696</v>
      </c>
      <c r="K35" s="42">
        <f>K30*'3_Giả định'!$D$10</f>
        <v>202636715.039158</v>
      </c>
      <c r="L35" s="42">
        <f>L30*'3_Giả định'!$D$10</f>
        <v>209121089.920411</v>
      </c>
      <c r="M35" s="42">
        <f>M30*'3_Giả định'!$D$10</f>
        <v>215812964.797864</v>
      </c>
      <c r="N35" s="42">
        <f>N30*'3_Giả định'!$D$10</f>
        <v>222718979.671396</v>
      </c>
      <c r="O35" s="42">
        <f>O30*'3_Giả định'!$D$10</f>
        <v>229845987.020881</v>
      </c>
      <c r="P35" s="42">
        <f>P30*'3_Giả định'!$D$10</f>
        <v>237201058.605549</v>
      </c>
      <c r="Q35" s="42">
        <f>Q30*'3_Giả định'!$D$10</f>
        <v>244791492.480927</v>
      </c>
      <c r="R35" s="42">
        <f>R30*'3_Giả định'!$D$10</f>
        <v>252624820.240316</v>
      </c>
      <c r="S35" s="42">
        <f>S30*'3_Giả định'!$D$10</f>
        <v>260708814.488006</v>
      </c>
      <c r="T35" s="42">
        <f>T30*'3_Giả định'!$D$10</f>
        <v>269051496.551623</v>
      </c>
      <c r="U35" s="42">
        <f>U30*'3_Giả định'!$D$10</f>
        <v>277661144.441274</v>
      </c>
      <c r="V35" s="42">
        <f>V30*'3_Giả định'!$D$10</f>
        <v>286546301.063395</v>
      </c>
      <c r="W35" s="42">
        <f>W30*'3_Giả định'!$D$10</f>
        <v>295715782.697424</v>
      </c>
      <c r="X35" s="42">
        <f>X30*'3_Giả định'!$D$10</f>
        <v>305178687.743741</v>
      </c>
      <c r="Y35" s="42">
        <f>Y30*'3_Giả định'!$D$10</f>
        <v>314944405.751541</v>
      </c>
      <c r="Z35" s="42">
        <f>Z30*'3_Giả định'!$D$10</f>
        <v>325022626.735591</v>
      </c>
    </row>
    <row r="36" ht="15" customHeight="1" spans="1:26">
      <c r="A36" s="12" t="s">
        <v>370</v>
      </c>
      <c r="C36" s="42">
        <f>'3_Giả định'!$D$11</f>
        <v>120000000</v>
      </c>
      <c r="D36" s="42">
        <f>'3_Giả định'!$D$11</f>
        <v>120000000</v>
      </c>
      <c r="E36" s="42">
        <f>'3_Giả định'!$D$11</f>
        <v>120000000</v>
      </c>
      <c r="F36" s="42">
        <f>'3_Giả định'!$D$11</f>
        <v>120000000</v>
      </c>
      <c r="G36" s="42">
        <f>'3_Giả định'!$D$11</f>
        <v>120000000</v>
      </c>
      <c r="H36" s="42">
        <f>'3_Giả định'!$D$11</f>
        <v>120000000</v>
      </c>
      <c r="I36" s="42">
        <f>'3_Giả định'!$D$11</f>
        <v>120000000</v>
      </c>
      <c r="J36" s="42">
        <f>'3_Giả định'!$D$11</f>
        <v>120000000</v>
      </c>
      <c r="K36" s="42">
        <f>'3_Giả định'!$D$11</f>
        <v>120000000</v>
      </c>
      <c r="L36" s="42">
        <f>'3_Giả định'!$D$11</f>
        <v>120000000</v>
      </c>
      <c r="M36" s="42">
        <f>'3_Giả định'!$D$11</f>
        <v>120000000</v>
      </c>
      <c r="N36" s="42">
        <f>'3_Giả định'!$D$11</f>
        <v>120000000</v>
      </c>
      <c r="O36" s="42">
        <f>'3_Giả định'!$D$11</f>
        <v>120000000</v>
      </c>
      <c r="P36" s="42">
        <f>'3_Giả định'!$D$11</f>
        <v>120000000</v>
      </c>
      <c r="Q36" s="42">
        <f>'3_Giả định'!$D$11</f>
        <v>120000000</v>
      </c>
      <c r="R36" s="42">
        <f>'3_Giả định'!$D$11</f>
        <v>120000000</v>
      </c>
      <c r="S36" s="42">
        <f>'3_Giả định'!$D$11</f>
        <v>120000000</v>
      </c>
      <c r="T36" s="42">
        <f>'3_Giả định'!$D$11</f>
        <v>120000000</v>
      </c>
      <c r="U36" s="42">
        <f>'3_Giả định'!$D$11</f>
        <v>120000000</v>
      </c>
      <c r="V36" s="42">
        <f>'3_Giả định'!$D$11</f>
        <v>120000000</v>
      </c>
      <c r="W36" s="42">
        <f>'3_Giả định'!$D$11</f>
        <v>120000000</v>
      </c>
      <c r="X36" s="42">
        <f>'3_Giả định'!$D$11</f>
        <v>120000000</v>
      </c>
      <c r="Y36" s="42">
        <f>'3_Giả định'!$D$11</f>
        <v>120000000</v>
      </c>
      <c r="Z36" s="42">
        <f>'3_Giả định'!$D$11</f>
        <v>120000000</v>
      </c>
    </row>
    <row r="37" ht="15" customHeight="1" spans="1:26">
      <c r="A37" s="12" t="s">
        <v>371</v>
      </c>
      <c r="B37" s="42">
        <f>-'3_Giả định'!$D$12</f>
        <v>-400000000</v>
      </c>
      <c r="C37" s="42">
        <f t="shared" ref="C37:Z37" si="9">C34-C35-C36</f>
        <v>-263405938.7712</v>
      </c>
      <c r="D37" s="42">
        <f t="shared" si="9"/>
        <v>-257283442.27799</v>
      </c>
      <c r="E37" s="42">
        <f t="shared" si="9"/>
        <v>-253535782.665131</v>
      </c>
      <c r="F37" s="42">
        <f t="shared" si="9"/>
        <v>-251621973.088442</v>
      </c>
      <c r="G37" s="42">
        <f t="shared" si="9"/>
        <v>-251131790.714572</v>
      </c>
      <c r="H37" s="42">
        <f t="shared" si="9"/>
        <v>-251754423.027786</v>
      </c>
      <c r="I37" s="42">
        <f t="shared" si="9"/>
        <v>-253254639.97254</v>
      </c>
      <c r="J37" s="42">
        <f t="shared" si="9"/>
        <v>-255454685.761638</v>
      </c>
      <c r="K37" s="42">
        <f t="shared" si="9"/>
        <v>-258220517.661593</v>
      </c>
      <c r="L37" s="42">
        <f t="shared" si="9"/>
        <v>-261451348.513007</v>
      </c>
      <c r="M37" s="42">
        <f t="shared" si="9"/>
        <v>-265071700.122967</v>
      </c>
      <c r="N37" s="42">
        <f t="shared" si="9"/>
        <v>-269025364.954636</v>
      </c>
      <c r="O37" s="42">
        <f t="shared" si="9"/>
        <v>-273270818.158262</v>
      </c>
      <c r="P37" s="42">
        <f t="shared" si="9"/>
        <v>-277777731.898386</v>
      </c>
      <c r="Q37" s="42">
        <f t="shared" si="9"/>
        <v>-282524327.464019</v>
      </c>
      <c r="R37" s="42">
        <f t="shared" si="9"/>
        <v>-287495364.13298</v>
      </c>
      <c r="S37" s="42">
        <f t="shared" si="9"/>
        <v>-292680612.009721</v>
      </c>
      <c r="T37" s="42">
        <f t="shared" si="9"/>
        <v>-298073692.724641</v>
      </c>
      <c r="U37" s="42">
        <f t="shared" si="9"/>
        <v>-303671199.751092</v>
      </c>
      <c r="V37" s="42">
        <f t="shared" si="9"/>
        <v>-309472031.276167</v>
      </c>
      <c r="W37" s="42">
        <f t="shared" si="9"/>
        <v>-315476884.658114</v>
      </c>
      <c r="X37" s="42">
        <f t="shared" si="9"/>
        <v>-321687873.736818</v>
      </c>
      <c r="Y37" s="42">
        <f t="shared" si="9"/>
        <v>-328108239.561325</v>
      </c>
      <c r="Z37" s="42">
        <f t="shared" si="9"/>
        <v>-334742132.164634</v>
      </c>
    </row>
    <row r="38" ht="15" customHeight="1" spans="1:26">
      <c r="A38" s="12" t="s">
        <v>372</v>
      </c>
      <c r="B38" s="42">
        <f>'3_Giả định'!$D$13+B37</f>
        <v>1100000000</v>
      </c>
      <c r="C38" s="42">
        <f t="shared" ref="C38:Z38" si="10">B38+C37</f>
        <v>836594061.2288</v>
      </c>
      <c r="D38" s="42">
        <f t="shared" si="10"/>
        <v>579310618.95081</v>
      </c>
      <c r="E38" s="42">
        <f t="shared" si="10"/>
        <v>325774836.285679</v>
      </c>
      <c r="F38" s="42">
        <f t="shared" si="10"/>
        <v>74152863.1972368</v>
      </c>
      <c r="G38" s="42">
        <f t="shared" si="10"/>
        <v>-176978927.517335</v>
      </c>
      <c r="H38" s="42">
        <f t="shared" si="10"/>
        <v>-428733350.545121</v>
      </c>
      <c r="I38" s="42">
        <f t="shared" si="10"/>
        <v>-681987990.517661</v>
      </c>
      <c r="J38" s="42">
        <f t="shared" si="10"/>
        <v>-937442676.279299</v>
      </c>
      <c r="K38" s="42">
        <f t="shared" si="10"/>
        <v>-1195663193.94089</v>
      </c>
      <c r="L38" s="42">
        <f t="shared" si="10"/>
        <v>-1457114542.4539</v>
      </c>
      <c r="M38" s="42">
        <f t="shared" si="10"/>
        <v>-1722186242.57687</v>
      </c>
      <c r="N38" s="42">
        <f t="shared" si="10"/>
        <v>-1991211607.5315</v>
      </c>
      <c r="O38" s="42">
        <f t="shared" si="10"/>
        <v>-2264482425.68976</v>
      </c>
      <c r="P38" s="42">
        <f t="shared" si="10"/>
        <v>-2542260157.58815</v>
      </c>
      <c r="Q38" s="42">
        <f t="shared" si="10"/>
        <v>-2824784485.05217</v>
      </c>
      <c r="R38" s="42">
        <f t="shared" si="10"/>
        <v>-3112279849.18515</v>
      </c>
      <c r="S38" s="42">
        <f t="shared" si="10"/>
        <v>-3404960461.19487</v>
      </c>
      <c r="T38" s="42">
        <f t="shared" si="10"/>
        <v>-3703034153.91951</v>
      </c>
      <c r="U38" s="42">
        <f t="shared" si="10"/>
        <v>-4006705353.6706</v>
      </c>
      <c r="V38" s="42">
        <f t="shared" si="10"/>
        <v>-4316177384.94677</v>
      </c>
      <c r="W38" s="42">
        <f t="shared" si="10"/>
        <v>-4631654269.60488</v>
      </c>
      <c r="X38" s="42">
        <f t="shared" si="10"/>
        <v>-4953342143.3417</v>
      </c>
      <c r="Y38" s="42">
        <f t="shared" si="10"/>
        <v>-5281450382.90303</v>
      </c>
      <c r="Z38" s="42">
        <f t="shared" si="10"/>
        <v>-5616192515.06766</v>
      </c>
    </row>
    <row r="39" ht="15" customHeight="1" spans="1:26">
      <c r="A39" s="12" t="s">
        <v>373</v>
      </c>
      <c r="B39" s="42">
        <f>B37</f>
        <v>-400000000</v>
      </c>
      <c r="C39" s="42">
        <f t="shared" ref="C39:Z39" si="11">B39+C37</f>
        <v>-663405938.7712</v>
      </c>
      <c r="D39" s="42">
        <f t="shared" si="11"/>
        <v>-920689381.04919</v>
      </c>
      <c r="E39" s="42">
        <f t="shared" si="11"/>
        <v>-1174225163.71432</v>
      </c>
      <c r="F39" s="42">
        <f t="shared" si="11"/>
        <v>-1425847136.80276</v>
      </c>
      <c r="G39" s="42">
        <f t="shared" si="11"/>
        <v>-1676978927.51733</v>
      </c>
      <c r="H39" s="42">
        <f t="shared" si="11"/>
        <v>-1928733350.54512</v>
      </c>
      <c r="I39" s="42">
        <f t="shared" si="11"/>
        <v>-2181987990.51766</v>
      </c>
      <c r="J39" s="42">
        <f t="shared" si="11"/>
        <v>-2437442676.2793</v>
      </c>
      <c r="K39" s="42">
        <f t="shared" si="11"/>
        <v>-2695663193.94089</v>
      </c>
      <c r="L39" s="42">
        <f t="shared" si="11"/>
        <v>-2957114542.4539</v>
      </c>
      <c r="M39" s="42">
        <f t="shared" si="11"/>
        <v>-3222186242.57687</v>
      </c>
      <c r="N39" s="42">
        <f t="shared" si="11"/>
        <v>-3491211607.5315</v>
      </c>
      <c r="O39" s="42">
        <f t="shared" si="11"/>
        <v>-3764482425.68976</v>
      </c>
      <c r="P39" s="42">
        <f t="shared" si="11"/>
        <v>-4042260157.58815</v>
      </c>
      <c r="Q39" s="42">
        <f t="shared" si="11"/>
        <v>-4324784485.05217</v>
      </c>
      <c r="R39" s="42">
        <f t="shared" si="11"/>
        <v>-4612279849.18515</v>
      </c>
      <c r="S39" s="42">
        <f t="shared" si="11"/>
        <v>-4904960461.19487</v>
      </c>
      <c r="T39" s="42">
        <f t="shared" si="11"/>
        <v>-5203034153.91951</v>
      </c>
      <c r="U39" s="42">
        <f t="shared" si="11"/>
        <v>-5506705353.6706</v>
      </c>
      <c r="V39" s="42">
        <f t="shared" si="11"/>
        <v>-5816177384.94677</v>
      </c>
      <c r="W39" s="42">
        <f t="shared" si="11"/>
        <v>-6131654269.60488</v>
      </c>
      <c r="X39" s="42">
        <f t="shared" si="11"/>
        <v>-6453342143.3417</v>
      </c>
      <c r="Y39" s="42">
        <f t="shared" si="11"/>
        <v>-6781450382.90303</v>
      </c>
      <c r="Z39" s="42">
        <f t="shared" si="11"/>
        <v>-7116192515.06766</v>
      </c>
    </row>
    <row r="42" ht="15" customHeight="1" spans="1:26">
      <c r="A42" s="2" t="s">
        <v>376</v>
      </c>
    </row>
    <row r="43" ht="26.25" customHeight="1" spans="1:26">
      <c r="A43" s="4" t="s">
        <v>325</v>
      </c>
      <c r="B43" s="4" t="s">
        <v>286</v>
      </c>
      <c r="C43" s="4" t="s">
        <v>287</v>
      </c>
      <c r="D43" s="4" t="s">
        <v>288</v>
      </c>
      <c r="E43" s="4" t="s">
        <v>326</v>
      </c>
    </row>
    <row r="44" ht="31.5" customHeight="1" spans="1:26">
      <c r="A44" s="43" t="s">
        <v>377</v>
      </c>
      <c r="B44" s="23">
        <f>B13+NPV('3_Giả định'!$B$14/12,C13:Z13)</f>
        <v>1981126390.50024</v>
      </c>
      <c r="C44" s="23">
        <f>B25+NPV('3_Giả định'!$C$14/12,C25:Z25)</f>
        <v>-5591201777.45053</v>
      </c>
      <c r="D44" s="23">
        <f>B37+NPV('3_Giả định'!$D$14/12,C37:Z37)</f>
        <v>-6128196562.00545</v>
      </c>
      <c r="E44" s="1" t="s">
        <v>378</v>
      </c>
    </row>
    <row r="45" ht="15" customHeight="1" spans="1:26">
      <c r="A45" s="12" t="s">
        <v>379</v>
      </c>
      <c r="B45" s="19">
        <f>IFERROR((1+IRR(B13:Z13,0.01))^12-1,"Không tính được")</f>
        <v>0.912342833110794</v>
      </c>
      <c r="C45" s="19" t="str">
        <f>IFERROR((1+IRR(B25:Z25,0.01))^12-1,"Không tính được")</f>
        <v>Không tính được</v>
      </c>
      <c r="D45" s="19" t="str">
        <f>IFERROR((1+IRR(B37:Z37,0.01))^12-1,"Không tính được")</f>
        <v>Không tính được</v>
      </c>
      <c r="E45" s="1" t="s">
        <v>380</v>
      </c>
      <c r="F45" s="3" t="s">
        <v>381</v>
      </c>
    </row>
    <row r="46" ht="15" customHeight="1" spans="1:26">
      <c r="A46" s="12" t="s">
        <v>382</v>
      </c>
      <c r="B46" s="23">
        <f>MIN(B14:Z14)</f>
        <v>-470952092.211911</v>
      </c>
      <c r="C46" s="23">
        <f>MIN(B26:Z26)</f>
        <v>-4966748318.45213</v>
      </c>
      <c r="D46" s="23">
        <f>MIN(B38:Z38)</f>
        <v>-5616192515.06766</v>
      </c>
      <c r="E46" s="1" t="s">
        <v>378</v>
      </c>
    </row>
    <row r="47" ht="15" customHeight="1" spans="1:26">
      <c r="A47" s="12" t="s">
        <v>383</v>
      </c>
      <c r="B47" s="22">
        <f>IF('3_Giả định'!B7=0,"Chưa điền",IFERROR(MATCH(TRUE(),INDEX(C14:Z14&lt;0,0),0),"Không hết tiền trong 24 tháng"))</f>
        <v>5</v>
      </c>
      <c r="C47" s="22">
        <f>IF('3_Giả định'!C7=0,"Chưa điền",IFERROR(MATCH(TRUE(),INDEX(C26:Z26&lt;0,0),0),"Không hết tiền trong 24 tháng"))</f>
        <v>5</v>
      </c>
      <c r="D47" s="22">
        <f>IF('3_Giả định'!D7=0,"Chưa điền",IFERROR(MATCH(TRUE(),INDEX(C38:Z38&lt;0,0),0),"Không hết tiền trong 24 tháng"))</f>
        <v>5</v>
      </c>
      <c r="E47" s="1" t="s">
        <v>384</v>
      </c>
      <c r="F47" s="3" t="s">
        <v>385</v>
      </c>
    </row>
    <row r="48" ht="15" customHeight="1" spans="1:26">
      <c r="A48" s="12" t="s">
        <v>386</v>
      </c>
      <c r="B48" s="22">
        <f>IF('3_Giả định'!B7=0,"Chưa điền",IFERROR(MATCH(TRUE(),INDEX(C15:Z15&gt;=0,0),0),"Chưa hoàn vốn trong 24 tháng"))</f>
        <v>20</v>
      </c>
      <c r="C48" s="22" t="str">
        <f>IF('3_Giả định'!C7=0,"Chưa điền",IFERROR(MATCH(TRUE(),INDEX(C27:Z27&gt;=0,0),0),"Chưa hoàn vốn trong 24 tháng"))</f>
        <v>Chưa hoàn vốn trong 24 tháng</v>
      </c>
      <c r="D48" s="22" t="str">
        <f>IF('3_Giả định'!D7=0,"Chưa điền",IFERROR(MATCH(TRUE(),INDEX(C39:Z39&gt;=0,0),0),"Chưa hoàn vốn trong 24 tháng"))</f>
        <v>Chưa hoàn vốn trong 24 tháng</v>
      </c>
      <c r="E48" s="1" t="s">
        <v>387</v>
      </c>
    </row>
    <row r="49" ht="15" customHeight="1" spans="1:8">
      <c r="A49" s="12" t="s">
        <v>388</v>
      </c>
      <c r="B49" s="44">
        <f>Z7</f>
        <v>32026.6158454534</v>
      </c>
      <c r="C49" s="44">
        <f>Z19</f>
        <v>8244.71480839165</v>
      </c>
      <c r="D49" s="44">
        <f>Z31</f>
        <v>1173.69109705875</v>
      </c>
    </row>
    <row r="50" ht="15" customHeight="1" spans="1:8">
      <c r="A50" s="12" t="s">
        <v>389</v>
      </c>
      <c r="B50" s="23">
        <f>Z8</f>
        <v>4914484201.48482</v>
      </c>
      <c r="C50" s="23">
        <f>Z20</f>
        <v>1150137715.77063</v>
      </c>
      <c r="D50" s="23">
        <f>Z32</f>
        <v>130983926.431757</v>
      </c>
    </row>
    <row r="53" ht="15" customHeight="1" spans="1:8">
      <c r="A53" s="2" t="s">
        <v>390</v>
      </c>
    </row>
    <row r="54" ht="15" customHeight="1" spans="1:8">
      <c r="A54" s="5" t="s">
        <v>391</v>
      </c>
      <c r="B54" s="45">
        <v>0.2</v>
      </c>
      <c r="C54" s="3" t="s">
        <v>392</v>
      </c>
    </row>
    <row r="56" ht="45" customHeight="1" spans="1:8">
      <c r="A56" s="46" t="s">
        <v>393</v>
      </c>
      <c r="B56" s="47" t="s">
        <v>394</v>
      </c>
      <c r="C56" s="47" t="s">
        <v>395</v>
      </c>
      <c r="D56" s="47" t="s">
        <v>396</v>
      </c>
      <c r="E56" s="47" t="s">
        <v>397</v>
      </c>
      <c r="F56" s="47" t="s">
        <v>383</v>
      </c>
      <c r="G56" s="47" t="s">
        <v>398</v>
      </c>
      <c r="H56" s="47" t="s">
        <v>399</v>
      </c>
    </row>
    <row r="57" ht="27.75" customHeight="1" spans="1:8">
      <c r="A57" s="15" t="s">
        <v>400</v>
      </c>
      <c r="B57" s="48" t="s">
        <v>401</v>
      </c>
      <c r="C57" s="48" t="s">
        <v>401</v>
      </c>
      <c r="D57" s="49">
        <f>(B94+NPV($K$80/12,C94:Z94))/1000000</f>
        <v>-5591.20177745053</v>
      </c>
      <c r="E57" s="48" t="s">
        <v>401</v>
      </c>
      <c r="F57" s="50">
        <f>IFERROR(MATCH(TRUE(),INDEX(C95:Z95&lt;0,0),0),"Không hết tiền trong 24 tháng")</f>
        <v>5</v>
      </c>
      <c r="G57" s="50" t="str">
        <f>IFERROR(MATCH(TRUE(),INDEX(C96:Z96&gt;=0,0),0),"Chưa hoàn vốn trong 24 tháng")</f>
        <v>Chưa hoàn vốn trong 24 tháng</v>
      </c>
    </row>
    <row r="58" ht="27.75" customHeight="1" spans="1:8">
      <c r="A58" s="5" t="s">
        <v>402</v>
      </c>
      <c r="B58" s="49">
        <f>'3_Giả định'!$C$17</f>
        <v>139500</v>
      </c>
      <c r="C58" s="49">
        <f>B81</f>
        <v>111600</v>
      </c>
      <c r="D58" s="49">
        <f>(B100+NPV($K$81/12,C100:Z100))/1000000</f>
        <v>-7561.80078979705</v>
      </c>
      <c r="E58" s="49">
        <f t="shared" ref="E58:E64" si="12">D58-$D$57</f>
        <v>-1970.59901234652</v>
      </c>
      <c r="F58" s="50">
        <f>IFERROR(MATCH(TRUE(),INDEX(C101:Z101&lt;0,0),0),"Không hết tiền trong 24 tháng")</f>
        <v>4</v>
      </c>
      <c r="G58" s="50" t="str">
        <f>IFERROR(MATCH(TRUE(),INDEX(C102:Z102&gt;=0,0),0),"Chưa hoàn vốn trong 24 tháng")</f>
        <v>Chưa hoàn vốn trong 24 tháng</v>
      </c>
      <c r="H58" s="51">
        <f t="shared" ref="H58:H64" si="13">RANK(D58,$D$58:$D$64,1)</f>
        <v>2</v>
      </c>
    </row>
    <row r="59" ht="27.75" customHeight="1" spans="1:8">
      <c r="A59" s="5" t="s">
        <v>403</v>
      </c>
      <c r="B59" s="49">
        <f>'3_Giả định'!$C$18</f>
        <v>14699.65984</v>
      </c>
      <c r="C59" s="49">
        <f>C82</f>
        <v>17639.591808</v>
      </c>
      <c r="D59" s="49">
        <f>(B106+NPV($K$82/12,C106:Z106))/1000000</f>
        <v>-5798.8514918773</v>
      </c>
      <c r="E59" s="49">
        <f t="shared" si="12"/>
        <v>-207.649714426764</v>
      </c>
      <c r="F59" s="50">
        <f>IFERROR(MATCH(TRUE(),INDEX(C107:Z107&lt;0,0),0),"Không hết tiền trong 24 tháng")</f>
        <v>5</v>
      </c>
      <c r="G59" s="50" t="str">
        <f>IFERROR(MATCH(TRUE(),INDEX(C108:Z108&gt;=0,0),0),"Chưa hoàn vốn trong 24 tháng")</f>
        <v>Chưa hoàn vốn trong 24 tháng</v>
      </c>
      <c r="H59" s="51">
        <f t="shared" si="13"/>
        <v>5</v>
      </c>
    </row>
    <row r="60" ht="27.75" customHeight="1" spans="1:8">
      <c r="A60" s="5" t="s">
        <v>404</v>
      </c>
      <c r="B60" s="52">
        <f>'3_Giả định'!$C$9</f>
        <v>0.15</v>
      </c>
      <c r="C60" s="52">
        <f>F83</f>
        <v>0.18</v>
      </c>
      <c r="D60" s="49">
        <f>(B112+NPV($K$83/12,C112:Z112))/1000000</f>
        <v>-6475.88175512992</v>
      </c>
      <c r="E60" s="49">
        <f t="shared" si="12"/>
        <v>-884.679977679381</v>
      </c>
      <c r="F60" s="50">
        <f>IFERROR(MATCH(TRUE(),INDEX(C113:Z113&lt;0,0),0),"Không hết tiền trong 24 tháng")</f>
        <v>5</v>
      </c>
      <c r="G60" s="50" t="str">
        <f>IFERROR(MATCH(TRUE(),INDEX(C114:Z114&gt;=0,0),0),"Chưa hoàn vốn trong 24 tháng")</f>
        <v>Chưa hoàn vốn trong 24 tháng</v>
      </c>
      <c r="H60" s="51">
        <f t="shared" si="13"/>
        <v>3</v>
      </c>
    </row>
    <row r="61" ht="27.75" customHeight="1" spans="1:8">
      <c r="A61" s="5" t="s">
        <v>405</v>
      </c>
      <c r="B61" s="49">
        <f>'3_Giả định'!$C$10</f>
        <v>700000</v>
      </c>
      <c r="C61" s="49">
        <f>G84</f>
        <v>840000</v>
      </c>
      <c r="D61" s="49">
        <f>(B118+NPV($K$84/12,C118:Z118))/1000000</f>
        <v>-7897.40980258285</v>
      </c>
      <c r="E61" s="49">
        <f t="shared" si="12"/>
        <v>-2306.20802513231</v>
      </c>
      <c r="F61" s="50">
        <f>IFERROR(MATCH(TRUE(),INDEX(C119:Z119&lt;0,0),0),"Không hết tiền trong 24 tháng")</f>
        <v>4</v>
      </c>
      <c r="G61" s="50" t="str">
        <f>IFERROR(MATCH(TRUE(),INDEX(C120:Z120&gt;=0,0),0),"Chưa hoàn vốn trong 24 tháng")</f>
        <v>Chưa hoàn vốn trong 24 tháng</v>
      </c>
      <c r="H61" s="51">
        <f t="shared" si="13"/>
        <v>1</v>
      </c>
    </row>
    <row r="62" ht="27.75" customHeight="1" spans="1:8">
      <c r="A62" s="5" t="s">
        <v>406</v>
      </c>
      <c r="B62" s="53">
        <f>'3_Giả định'!$C$7</f>
        <v>300</v>
      </c>
      <c r="C62" s="53">
        <f>D85</f>
        <v>240</v>
      </c>
      <c r="D62" s="49">
        <f>(B124+NPV($K$85/12,C124:Z124))/1000000</f>
        <v>-5047.94305023797</v>
      </c>
      <c r="E62" s="49">
        <f t="shared" si="12"/>
        <v>543.258727212562</v>
      </c>
      <c r="F62" s="50">
        <f>IFERROR(MATCH(TRUE(),INDEX(C125:Z125&lt;0,0),0),"Không hết tiền trong 24 tháng")</f>
        <v>5</v>
      </c>
      <c r="G62" s="50" t="str">
        <f>IFERROR(MATCH(TRUE(),INDEX(C126:Z126&gt;=0,0),0),"Chưa hoàn vốn trong 24 tháng")</f>
        <v>Chưa hoàn vốn trong 24 tháng</v>
      </c>
      <c r="H62" s="51">
        <f t="shared" si="13"/>
        <v>6</v>
      </c>
    </row>
    <row r="63" ht="27.75" customHeight="1" spans="1:8">
      <c r="A63" s="5" t="s">
        <v>407</v>
      </c>
      <c r="B63" s="52">
        <f>'3_Giả định'!$C$8</f>
        <v>0.08</v>
      </c>
      <c r="C63" s="52">
        <f>E86</f>
        <v>0.064</v>
      </c>
      <c r="D63" s="49">
        <f>(B130+NPV($K$86/12,C130:Z130))/1000000</f>
        <v>-4836.51578677645</v>
      </c>
      <c r="E63" s="49">
        <f t="shared" si="12"/>
        <v>754.685990674083</v>
      </c>
      <c r="F63" s="50">
        <f>IFERROR(MATCH(TRUE(),INDEX(C131:Z131&lt;0,0),0),"Không hết tiền trong 24 tháng")</f>
        <v>5</v>
      </c>
      <c r="G63" s="50" t="str">
        <f>IFERROR(MATCH(TRUE(),INDEX(C132:Z132&gt;=0,0),0),"Chưa hoàn vốn trong 24 tháng")</f>
        <v>Chưa hoàn vốn trong 24 tháng</v>
      </c>
      <c r="H63" s="51">
        <f t="shared" si="13"/>
        <v>7</v>
      </c>
    </row>
    <row r="64" ht="27.75" customHeight="1" spans="1:8">
      <c r="A64" s="5" t="s">
        <v>408</v>
      </c>
      <c r="B64" s="49">
        <f>'3_Giả định'!$C$11</f>
        <v>120000000</v>
      </c>
      <c r="C64" s="49">
        <f>H87</f>
        <v>144000000</v>
      </c>
      <c r="D64" s="49">
        <f>(B136+NPV($K$87/12,C136:Z136))/1000000</f>
        <v>-6086.18340572808</v>
      </c>
      <c r="E64" s="49">
        <f t="shared" si="12"/>
        <v>-494.981628277543</v>
      </c>
      <c r="F64" s="50">
        <f>IFERROR(MATCH(TRUE(),INDEX(C137:Z137&lt;0,0),0),"Không hết tiền trong 24 tháng")</f>
        <v>4</v>
      </c>
      <c r="G64" s="50" t="str">
        <f>IFERROR(MATCH(TRUE(),INDEX(C138:Z138&gt;=0,0),0),"Chưa hoàn vốn trong 24 tháng")</f>
        <v>Chưa hoàn vốn trong 24 tháng</v>
      </c>
      <c r="H64" s="51">
        <f t="shared" si="13"/>
        <v>4</v>
      </c>
    </row>
    <row r="66" ht="15" customHeight="1" spans="1:11">
      <c r="A66" s="15" t="s">
        <v>409</v>
      </c>
      <c r="B66" s="54" t="str">
        <f>IF(MAX(D58:D64)-MIN(D58:D64)&lt;0.5,"Chưa đủ số liệu",INDEX(A58:A64,MATCH(MIN(D58:D64),D58:D64,0)))</f>
        <v>Chi phí có một khách tăng</v>
      </c>
    </row>
    <row r="68" ht="31.5" customHeight="1" spans="1:11">
      <c r="A68" s="55" t="s">
        <v>410</v>
      </c>
      <c r="B68" s="48" t="s">
        <v>401</v>
      </c>
      <c r="C68" s="48" t="s">
        <v>401</v>
      </c>
      <c r="D68" s="49">
        <f>(B142+NPV($K$88/12,C142:Z142))/1000000</f>
        <v>-7855.30806175861</v>
      </c>
      <c r="E68" s="49">
        <f>D68-$D$57</f>
        <v>-2264.10628430808</v>
      </c>
      <c r="F68" s="50">
        <f>IFERROR(MATCH(TRUE(),INDEX(C143:Z143&lt;0,0),0),"Không hết tiền trong 24 tháng")</f>
        <v>4</v>
      </c>
      <c r="G68" s="50" t="str">
        <f>IFERROR(MATCH(TRUE(),INDEX(C144:Z144&gt;=0,0),0),"Chưa hoàn vốn trong 24 tháng")</f>
        <v>Chưa hoàn vốn trong 24 tháng</v>
      </c>
    </row>
    <row r="69" ht="15" customHeight="1" spans="1:11">
      <c r="A69" s="3" t="s">
        <v>411</v>
      </c>
    </row>
    <row r="70" ht="15" customHeight="1" spans="1:11">
      <c r="A70" s="2" t="s">
        <v>412</v>
      </c>
    </row>
    <row r="71" ht="45" customHeight="1" spans="1:11">
      <c r="A71" s="4" t="s">
        <v>325</v>
      </c>
      <c r="B71" s="4" t="s">
        <v>413</v>
      </c>
      <c r="C71" s="4" t="s">
        <v>414</v>
      </c>
      <c r="D71" s="56" t="s">
        <v>415</v>
      </c>
      <c r="E71" s="57" t="s">
        <v>416</v>
      </c>
      <c r="F71" s="57"/>
      <c r="G71" s="57"/>
      <c r="H71" s="57"/>
    </row>
    <row r="72" ht="15" customHeight="1" spans="1:11">
      <c r="A72" s="58" t="s">
        <v>417</v>
      </c>
      <c r="B72" s="59">
        <f>'3_Giả định'!C17</f>
        <v>139500</v>
      </c>
      <c r="C72" s="60">
        <f>IFERROR(B72*(1-$B$54*$D$57/($D$57-$D$58)),"")</f>
        <v>218660.970148421</v>
      </c>
      <c r="D72" s="61">
        <f>IFERROR(C72/B72-1,"")</f>
        <v>0.567462151601582</v>
      </c>
      <c r="E72" s="58" t="s">
        <v>418</v>
      </c>
      <c r="F72" s="58"/>
      <c r="G72" s="58"/>
      <c r="H72" s="58"/>
    </row>
    <row r="73" ht="15" customHeight="1" spans="1:11">
      <c r="A73" s="58" t="s">
        <v>102</v>
      </c>
      <c r="B73" s="62">
        <f>'4_Chỉ số mỗi khách'!C7</f>
        <v>0.894626094336918</v>
      </c>
      <c r="C73" s="63">
        <f>IFERROR(1-('3_Giả định'!C18*(1+$B$54*$D$57/($D$57-$D$59)))/'3_Giả định'!C17,"")</f>
        <v>1.4620882459385</v>
      </c>
      <c r="D73" s="62">
        <f>IFERROR(C73-B73,"")</f>
        <v>0.567462151601585</v>
      </c>
      <c r="E73" s="58" t="s">
        <v>419</v>
      </c>
      <c r="F73" s="58"/>
      <c r="G73" s="58"/>
      <c r="H73" s="58"/>
    </row>
    <row r="74" ht="15" customHeight="1" spans="1:11">
      <c r="A74" s="58" t="s">
        <v>420</v>
      </c>
      <c r="B74" s="59">
        <f>'3_Giả định'!C10</f>
        <v>700000</v>
      </c>
      <c r="C74" s="60">
        <f>IFERROR(B74*(1+$B$54*$D$57/($D$57-$D$61)),"")</f>
        <v>360582.115614586</v>
      </c>
      <c r="D74" s="61">
        <f>IFERROR(C74/B74-1,"")</f>
        <v>-0.484882691979164</v>
      </c>
      <c r="E74" s="64" t="str">
        <f>IFERROR("Trên mức này là 'nguy'. Tương ứng LTV ÷ CAC = "&amp;ROUND('4_Chỉ số mỗi khách'!C9/C74,1)&amp;", không phải 3","")</f>
        <v>Trên mức này là 'nguy'. Tương ứng LTV ÷ CAC = 2.3, không phải 3</v>
      </c>
      <c r="F74" s="64"/>
      <c r="G74" s="64"/>
      <c r="H74" s="64"/>
    </row>
    <row r="75" ht="15" customHeight="1" spans="1:11">
      <c r="A75" s="58" t="s">
        <v>421</v>
      </c>
      <c r="B75" s="65">
        <f>'3_Giả định'!C7</f>
        <v>300</v>
      </c>
      <c r="C75" s="66">
        <f>IFERROR(B75*(1-$B$54*$D$57/($D$57-$D$62)),"")</f>
        <v>-317.518117690121</v>
      </c>
      <c r="D75" s="61">
        <f>IFERROR(C75/B75-1,"")</f>
        <v>-2.05839372563374</v>
      </c>
      <c r="E75" s="58" t="s">
        <v>422</v>
      </c>
      <c r="F75" s="58"/>
      <c r="G75" s="58"/>
      <c r="H75" s="58"/>
    </row>
    <row r="76" ht="15" customHeight="1" spans="1:11">
      <c r="A76" s="58" t="s">
        <v>423</v>
      </c>
      <c r="B76" s="59">
        <f>'3_Giả định'!C11</f>
        <v>120000000</v>
      </c>
      <c r="C76" s="60">
        <f>IFERROR(B76*(1+$B$54*$D$57/($D$57-$D$64)),"")</f>
        <v>-151098632.742732</v>
      </c>
      <c r="D76" s="61">
        <f>IFERROR(C76/B76-1,"")</f>
        <v>-2.2591552728561</v>
      </c>
      <c r="E76" s="58" t="s">
        <v>424</v>
      </c>
      <c r="F76" s="58"/>
      <c r="G76" s="58"/>
      <c r="H76" s="58"/>
    </row>
    <row r="77" ht="15" customHeight="1" spans="1:11">
      <c r="A77" s="58" t="s">
        <v>425</v>
      </c>
      <c r="B77" s="62">
        <f>'2_Định giá'!B27</f>
        <v>0</v>
      </c>
      <c r="C77" s="63">
        <f>IFERROR(1-C72/('2_Định giá'!D17*'3_Giả định'!C5),"")</f>
        <v>-0.567462151601582</v>
      </c>
      <c r="D77" s="62">
        <f>IFERROR(C77-B77,"")</f>
        <v>-0.567462151601582</v>
      </c>
      <c r="E77" s="58" t="s">
        <v>426</v>
      </c>
      <c r="F77" s="58"/>
      <c r="G77" s="58"/>
      <c r="H77" s="58"/>
    </row>
    <row r="78" ht="15" customHeight="1" spans="1:11">
      <c r="A78" s="67" t="s">
        <v>427</v>
      </c>
    </row>
    <row r="79" ht="15" hidden="1" customHeight="1" spans="1:11">
      <c r="A79" s="67" t="s">
        <v>428</v>
      </c>
      <c r="B79" s="67" t="s">
        <v>429</v>
      </c>
      <c r="C79" s="67" t="s">
        <v>430</v>
      </c>
      <c r="D79" s="67" t="s">
        <v>431</v>
      </c>
      <c r="E79" s="67" t="s">
        <v>432</v>
      </c>
      <c r="F79" s="67" t="s">
        <v>433</v>
      </c>
      <c r="G79" s="67" t="s">
        <v>434</v>
      </c>
      <c r="H79" s="67" t="s">
        <v>370</v>
      </c>
      <c r="I79" s="67" t="s">
        <v>435</v>
      </c>
      <c r="J79" s="67" t="s">
        <v>436</v>
      </c>
      <c r="K79" s="67" t="s">
        <v>437</v>
      </c>
    </row>
    <row r="80" ht="15" hidden="1" customHeight="1" spans="1:11">
      <c r="A80" s="67" t="s">
        <v>438</v>
      </c>
      <c r="B80" s="68">
        <f>'3_Giả định'!$C$17</f>
        <v>139500</v>
      </c>
      <c r="C80" s="68">
        <f>'3_Giả định'!$C$18</f>
        <v>14699.65984</v>
      </c>
      <c r="D80" s="69">
        <f>'3_Giả định'!$C$7</f>
        <v>300</v>
      </c>
      <c r="E80" s="70">
        <f>'3_Giả định'!$C$8</f>
        <v>0.08</v>
      </c>
      <c r="F80" s="70">
        <f>'3_Giả định'!$C$9</f>
        <v>0.15</v>
      </c>
      <c r="G80" s="68">
        <f>'3_Giả định'!$C$10</f>
        <v>700000</v>
      </c>
      <c r="H80" s="68">
        <f>'3_Giả định'!$C$11</f>
        <v>120000000</v>
      </c>
      <c r="I80" s="68">
        <f>'3_Giả định'!$C$12</f>
        <v>400000000</v>
      </c>
      <c r="J80" s="68">
        <f>'3_Giả định'!$C$13</f>
        <v>1500000000</v>
      </c>
      <c r="K80" s="70">
        <f>'3_Giả định'!$C$14</f>
        <v>0.15</v>
      </c>
    </row>
    <row r="81" ht="15" hidden="1" customHeight="1" spans="1:26">
      <c r="A81" s="67" t="s">
        <v>439</v>
      </c>
      <c r="B81" s="68">
        <f>'3_Giả định'!$C$17*(1-$B$54)</f>
        <v>111600</v>
      </c>
      <c r="C81" s="68">
        <f>'3_Giả định'!$C$18</f>
        <v>14699.65984</v>
      </c>
      <c r="D81" s="69">
        <f>'3_Giả định'!$C$7</f>
        <v>300</v>
      </c>
      <c r="E81" s="70">
        <f>'3_Giả định'!$C$8</f>
        <v>0.08</v>
      </c>
      <c r="F81" s="70">
        <f>'3_Giả định'!$C$9</f>
        <v>0.15</v>
      </c>
      <c r="G81" s="68">
        <f>'3_Giả định'!$C$10</f>
        <v>700000</v>
      </c>
      <c r="H81" s="68">
        <f>'3_Giả định'!$C$11</f>
        <v>120000000</v>
      </c>
      <c r="I81" s="68">
        <f>'3_Giả định'!$C$12</f>
        <v>400000000</v>
      </c>
      <c r="J81" s="68">
        <f>'3_Giả định'!$C$13</f>
        <v>1500000000</v>
      </c>
      <c r="K81" s="70">
        <f>'3_Giả định'!$C$14</f>
        <v>0.15</v>
      </c>
    </row>
    <row r="82" ht="15" hidden="1" customHeight="1" spans="1:26">
      <c r="A82" s="67" t="s">
        <v>440</v>
      </c>
      <c r="B82" s="68">
        <f>'3_Giả định'!$C$17</f>
        <v>139500</v>
      </c>
      <c r="C82" s="68">
        <f>'3_Giả định'!$C$18*(1+$B$54)</f>
        <v>17639.591808</v>
      </c>
      <c r="D82" s="69">
        <f>'3_Giả định'!$C$7</f>
        <v>300</v>
      </c>
      <c r="E82" s="70">
        <f>'3_Giả định'!$C$8</f>
        <v>0.08</v>
      </c>
      <c r="F82" s="70">
        <f>'3_Giả định'!$C$9</f>
        <v>0.15</v>
      </c>
      <c r="G82" s="68">
        <f>'3_Giả định'!$C$10</f>
        <v>700000</v>
      </c>
      <c r="H82" s="68">
        <f>'3_Giả định'!$C$11</f>
        <v>120000000</v>
      </c>
      <c r="I82" s="68">
        <f>'3_Giả định'!$C$12</f>
        <v>400000000</v>
      </c>
      <c r="J82" s="68">
        <f>'3_Giả định'!$C$13</f>
        <v>1500000000</v>
      </c>
      <c r="K82" s="70">
        <f>'3_Giả định'!$C$14</f>
        <v>0.15</v>
      </c>
    </row>
    <row r="83" ht="15" hidden="1" customHeight="1" spans="1:26">
      <c r="A83" s="67" t="s">
        <v>441</v>
      </c>
      <c r="B83" s="68">
        <f>'3_Giả định'!$C$17</f>
        <v>139500</v>
      </c>
      <c r="C83" s="68">
        <f>'3_Giả định'!$C$18</f>
        <v>14699.65984</v>
      </c>
      <c r="D83" s="69">
        <f>'3_Giả định'!$C$7</f>
        <v>300</v>
      </c>
      <c r="E83" s="70">
        <f>'3_Giả định'!$C$8</f>
        <v>0.08</v>
      </c>
      <c r="F83" s="70">
        <f>'3_Giả định'!$C$9*(1+$B$54)</f>
        <v>0.18</v>
      </c>
      <c r="G83" s="68">
        <f>'3_Giả định'!$C$10</f>
        <v>700000</v>
      </c>
      <c r="H83" s="68">
        <f>'3_Giả định'!$C$11</f>
        <v>120000000</v>
      </c>
      <c r="I83" s="68">
        <f>'3_Giả định'!$C$12</f>
        <v>400000000</v>
      </c>
      <c r="J83" s="68">
        <f>'3_Giả định'!$C$13</f>
        <v>1500000000</v>
      </c>
      <c r="K83" s="70">
        <f>'3_Giả định'!$C$14</f>
        <v>0.15</v>
      </c>
    </row>
    <row r="84" ht="15" hidden="1" customHeight="1" spans="1:26">
      <c r="A84" s="67" t="s">
        <v>442</v>
      </c>
      <c r="B84" s="68">
        <f>'3_Giả định'!$C$17</f>
        <v>139500</v>
      </c>
      <c r="C84" s="68">
        <f>'3_Giả định'!$C$18</f>
        <v>14699.65984</v>
      </c>
      <c r="D84" s="69">
        <f>'3_Giả định'!$C$7</f>
        <v>300</v>
      </c>
      <c r="E84" s="70">
        <f>'3_Giả định'!$C$8</f>
        <v>0.08</v>
      </c>
      <c r="F84" s="70">
        <f>'3_Giả định'!$C$9</f>
        <v>0.15</v>
      </c>
      <c r="G84" s="68">
        <f>'3_Giả định'!$C$10*(1+$B$54)</f>
        <v>840000</v>
      </c>
      <c r="H84" s="68">
        <f>'3_Giả định'!$C$11</f>
        <v>120000000</v>
      </c>
      <c r="I84" s="68">
        <f>'3_Giả định'!$C$12</f>
        <v>400000000</v>
      </c>
      <c r="J84" s="68">
        <f>'3_Giả định'!$C$13</f>
        <v>1500000000</v>
      </c>
      <c r="K84" s="70">
        <f>'3_Giả định'!$C$14</f>
        <v>0.15</v>
      </c>
    </row>
    <row r="85" ht="15" hidden="1" customHeight="1" spans="1:26">
      <c r="A85" s="67" t="s">
        <v>443</v>
      </c>
      <c r="B85" s="68">
        <f>'3_Giả định'!$C$17</f>
        <v>139500</v>
      </c>
      <c r="C85" s="68">
        <f>'3_Giả định'!$C$18</f>
        <v>14699.65984</v>
      </c>
      <c r="D85" s="69">
        <f>'3_Giả định'!$C$7*(1-$B$54)</f>
        <v>240</v>
      </c>
      <c r="E85" s="70">
        <f>'3_Giả định'!$C$8</f>
        <v>0.08</v>
      </c>
      <c r="F85" s="70">
        <f>'3_Giả định'!$C$9</f>
        <v>0.15</v>
      </c>
      <c r="G85" s="68">
        <f>'3_Giả định'!$C$10</f>
        <v>700000</v>
      </c>
      <c r="H85" s="68">
        <f>'3_Giả định'!$C$11</f>
        <v>120000000</v>
      </c>
      <c r="I85" s="68">
        <f>'3_Giả định'!$C$12</f>
        <v>400000000</v>
      </c>
      <c r="J85" s="68">
        <f>'3_Giả định'!$C$13</f>
        <v>1500000000</v>
      </c>
      <c r="K85" s="70">
        <f>'3_Giả định'!$C$14</f>
        <v>0.15</v>
      </c>
    </row>
    <row r="86" ht="15" hidden="1" customHeight="1" spans="1:26">
      <c r="A86" s="67" t="s">
        <v>444</v>
      </c>
      <c r="B86" s="68">
        <f>'3_Giả định'!$C$17</f>
        <v>139500</v>
      </c>
      <c r="C86" s="68">
        <f>'3_Giả định'!$C$18</f>
        <v>14699.65984</v>
      </c>
      <c r="D86" s="69">
        <f>'3_Giả định'!$C$7</f>
        <v>300</v>
      </c>
      <c r="E86" s="70">
        <f>'3_Giả định'!$C$8*(1-$B$54)</f>
        <v>0.064</v>
      </c>
      <c r="F86" s="70">
        <f>'3_Giả định'!$C$9</f>
        <v>0.15</v>
      </c>
      <c r="G86" s="68">
        <f>'3_Giả định'!$C$10</f>
        <v>700000</v>
      </c>
      <c r="H86" s="68">
        <f>'3_Giả định'!$C$11</f>
        <v>120000000</v>
      </c>
      <c r="I86" s="68">
        <f>'3_Giả định'!$C$12</f>
        <v>400000000</v>
      </c>
      <c r="J86" s="68">
        <f>'3_Giả định'!$C$13</f>
        <v>1500000000</v>
      </c>
      <c r="K86" s="70">
        <f>'3_Giả định'!$C$14</f>
        <v>0.15</v>
      </c>
    </row>
    <row r="87" ht="15" hidden="1" customHeight="1" spans="1:26">
      <c r="A87" s="67" t="s">
        <v>445</v>
      </c>
      <c r="B87" s="68">
        <f>'3_Giả định'!$C$17</f>
        <v>139500</v>
      </c>
      <c r="C87" s="68">
        <f>'3_Giả định'!$C$18</f>
        <v>14699.65984</v>
      </c>
      <c r="D87" s="69">
        <f>'3_Giả định'!$C$7</f>
        <v>300</v>
      </c>
      <c r="E87" s="70">
        <f>'3_Giả định'!$C$8</f>
        <v>0.08</v>
      </c>
      <c r="F87" s="70">
        <f>'3_Giả định'!$C$9</f>
        <v>0.15</v>
      </c>
      <c r="G87" s="68">
        <f>'3_Giả định'!$C$10</f>
        <v>700000</v>
      </c>
      <c r="H87" s="68">
        <f>'3_Giả định'!$C$11*(1+$B$54)</f>
        <v>144000000</v>
      </c>
      <c r="I87" s="68">
        <f>'3_Giả định'!$C$12</f>
        <v>400000000</v>
      </c>
      <c r="J87" s="68">
        <f>'3_Giả định'!$C$13</f>
        <v>1500000000</v>
      </c>
      <c r="K87" s="70">
        <f>'3_Giả định'!$C$14</f>
        <v>0.15</v>
      </c>
    </row>
    <row r="88" ht="15" hidden="1" customHeight="1" spans="1:26">
      <c r="A88" s="67" t="s">
        <v>446</v>
      </c>
      <c r="B88" s="68">
        <f>'2_Định giá'!$D$15*'3_Giả định'!$C$5*(1-'2_Định giá'!$B$27)</f>
        <v>99000</v>
      </c>
      <c r="C88" s="68">
        <f>'2_Định giá'!$E$15*'3_Giả định'!$C$6</f>
        <v>6255.1744</v>
      </c>
      <c r="D88" s="69">
        <f>'3_Giả định'!$C$7</f>
        <v>300</v>
      </c>
      <c r="E88" s="70">
        <f>'3_Giả định'!$C$8</f>
        <v>0.08</v>
      </c>
      <c r="F88" s="70">
        <f>'3_Giả định'!$C$9</f>
        <v>0.15</v>
      </c>
      <c r="G88" s="68">
        <f>'3_Giả định'!$C$10</f>
        <v>700000</v>
      </c>
      <c r="H88" s="68">
        <f>'3_Giả định'!$C$11</f>
        <v>120000000</v>
      </c>
      <c r="I88" s="68">
        <f>'3_Giả định'!$C$12</f>
        <v>400000000</v>
      </c>
      <c r="J88" s="68">
        <f>'3_Giả định'!$C$13</f>
        <v>1500000000</v>
      </c>
      <c r="K88" s="70">
        <f>'3_Giả định'!$C$14</f>
        <v>0.15</v>
      </c>
    </row>
    <row r="89" ht="15" hidden="1" customHeight="1"/>
    <row r="90" ht="15" hidden="1" customHeight="1"/>
    <row r="91" ht="15" hidden="1" customHeight="1"/>
    <row r="92" ht="15" hidden="1" customHeight="1" spans="1:26">
      <c r="A92" s="67" t="s">
        <v>447</v>
      </c>
      <c r="C92" s="69">
        <f>$D$80*(1+$E$80)^0</f>
        <v>300</v>
      </c>
      <c r="D92" s="69">
        <f>$D$80*(1+$E$80)^1</f>
        <v>324</v>
      </c>
      <c r="E92" s="69">
        <f>$D$80*(1+$E$80)^2</f>
        <v>349.92</v>
      </c>
      <c r="F92" s="69">
        <f>$D$80*(1+$E$80)^3</f>
        <v>377.9136</v>
      </c>
      <c r="G92" s="69">
        <f>$D$80*(1+$E$80)^4</f>
        <v>408.146688</v>
      </c>
      <c r="H92" s="69">
        <f>$D$80*(1+$E$80)^5</f>
        <v>440.79842304</v>
      </c>
      <c r="I92" s="69">
        <f>$D$80*(1+$E$80)^6</f>
        <v>476.0622968832</v>
      </c>
      <c r="J92" s="69">
        <f>$D$80*(1+$E$80)^7</f>
        <v>514.147280633856</v>
      </c>
      <c r="K92" s="69">
        <f>$D$80*(1+$E$80)^8</f>
        <v>555.279063084565</v>
      </c>
      <c r="L92" s="69">
        <f>$D$80*(1+$E$80)^9</f>
        <v>599.70138813133</v>
      </c>
      <c r="M92" s="69">
        <f>$D$80*(1+$E$80)^10</f>
        <v>647.677499181836</v>
      </c>
      <c r="N92" s="69">
        <f>$D$80*(1+$E$80)^11</f>
        <v>699.491699116383</v>
      </c>
      <c r="O92" s="69">
        <f>$D$80*(1+$E$80)^12</f>
        <v>755.451035045694</v>
      </c>
      <c r="P92" s="69">
        <f>$D$80*(1+$E$80)^13</f>
        <v>815.88711784935</v>
      </c>
      <c r="Q92" s="69">
        <f>$D$80*(1+$E$80)^14</f>
        <v>881.158087277298</v>
      </c>
      <c r="R92" s="69">
        <f>$D$80*(1+$E$80)^15</f>
        <v>951.650734259482</v>
      </c>
      <c r="S92" s="69">
        <f>$D$80*(1+$E$80)^16</f>
        <v>1027.78279300024</v>
      </c>
      <c r="T92" s="69">
        <f>$D$80*(1+$E$80)^17</f>
        <v>1110.00541644026</v>
      </c>
      <c r="U92" s="69">
        <f>$D$80*(1+$E$80)^18</f>
        <v>1198.80584975548</v>
      </c>
      <c r="V92" s="69">
        <f>$D$80*(1+$E$80)^19</f>
        <v>1294.71031773592</v>
      </c>
      <c r="W92" s="69">
        <f>$D$80*(1+$E$80)^20</f>
        <v>1398.28714315479</v>
      </c>
      <c r="X92" s="69">
        <f>$D$80*(1+$E$80)^21</f>
        <v>1510.15011460718</v>
      </c>
      <c r="Y92" s="69">
        <f>$D$80*(1+$E$80)^22</f>
        <v>1630.96212377575</v>
      </c>
      <c r="Z92" s="69">
        <f>$D$80*(1+$E$80)^23</f>
        <v>1761.43909367781</v>
      </c>
    </row>
    <row r="93" ht="15" hidden="1" customHeight="1" spans="1:26">
      <c r="A93" s="67" t="s">
        <v>448</v>
      </c>
      <c r="B93" s="67">
        <v>0</v>
      </c>
      <c r="C93" s="69">
        <f t="shared" ref="C93:Z93" si="14">B93*(1-$F$80)+C92</f>
        <v>300</v>
      </c>
      <c r="D93" s="69">
        <f t="shared" si="14"/>
        <v>579</v>
      </c>
      <c r="E93" s="69">
        <f t="shared" si="14"/>
        <v>842.07</v>
      </c>
      <c r="F93" s="69">
        <f t="shared" si="14"/>
        <v>1093.6731</v>
      </c>
      <c r="G93" s="69">
        <f t="shared" si="14"/>
        <v>1337.768823</v>
      </c>
      <c r="H93" s="69">
        <f t="shared" si="14"/>
        <v>1577.90192259</v>
      </c>
      <c r="I93" s="69">
        <f t="shared" si="14"/>
        <v>1817.2789310847</v>
      </c>
      <c r="J93" s="69">
        <f t="shared" si="14"/>
        <v>2058.83437205585</v>
      </c>
      <c r="K93" s="69">
        <f t="shared" si="14"/>
        <v>2305.28827933204</v>
      </c>
      <c r="L93" s="69">
        <f t="shared" si="14"/>
        <v>2559.19642556356</v>
      </c>
      <c r="M93" s="69">
        <f t="shared" si="14"/>
        <v>2822.99446091086</v>
      </c>
      <c r="N93" s="69">
        <f t="shared" si="14"/>
        <v>3099.03699089062</v>
      </c>
      <c r="O93" s="69">
        <f t="shared" si="14"/>
        <v>3389.63247730272</v>
      </c>
      <c r="P93" s="69">
        <f t="shared" si="14"/>
        <v>3697.07472355666</v>
      </c>
      <c r="Q93" s="69">
        <f t="shared" si="14"/>
        <v>4023.67160230046</v>
      </c>
      <c r="R93" s="69">
        <f t="shared" si="14"/>
        <v>4371.77159621487</v>
      </c>
      <c r="S93" s="69">
        <f t="shared" si="14"/>
        <v>4743.78864978288</v>
      </c>
      <c r="T93" s="69">
        <f t="shared" si="14"/>
        <v>5142.22576875571</v>
      </c>
      <c r="U93" s="69">
        <f t="shared" si="14"/>
        <v>5569.69775319783</v>
      </c>
      <c r="V93" s="69">
        <f t="shared" si="14"/>
        <v>6028.95340795408</v>
      </c>
      <c r="W93" s="69">
        <f t="shared" si="14"/>
        <v>6522.89753991576</v>
      </c>
      <c r="X93" s="69">
        <f t="shared" si="14"/>
        <v>7054.61302353557</v>
      </c>
      <c r="Y93" s="69">
        <f t="shared" si="14"/>
        <v>7627.38319378098</v>
      </c>
      <c r="Z93" s="69">
        <f t="shared" si="14"/>
        <v>8244.71480839165</v>
      </c>
    </row>
    <row r="94" ht="15" hidden="1" customHeight="1" spans="1:26">
      <c r="A94" s="67" t="s">
        <v>449</v>
      </c>
      <c r="B94" s="68">
        <f>-$I$80</f>
        <v>-400000000</v>
      </c>
      <c r="C94" s="68">
        <f t="shared" ref="C94:Z94" si="15">C93*($B$80-$C$80)-C92*$G$80-$H$80</f>
        <v>-292559897.952</v>
      </c>
      <c r="D94" s="68">
        <f t="shared" si="15"/>
        <v>-274540603.04736</v>
      </c>
      <c r="E94" s="68">
        <f t="shared" si="15"/>
        <v>-259853377.561469</v>
      </c>
      <c r="F94" s="68">
        <f t="shared" si="15"/>
        <v>-248048745.096158</v>
      </c>
      <c r="G94" s="68">
        <f t="shared" si="15"/>
        <v>-238748677.434157</v>
      </c>
      <c r="H94" s="68">
        <f t="shared" si="15"/>
        <v>-231636199.44965</v>
      </c>
      <c r="I94" s="68">
        <f t="shared" si="15"/>
        <v>-226446579.053268</v>
      </c>
      <c r="J94" s="68">
        <f t="shared" si="15"/>
        <v>-222959866.478029</v>
      </c>
      <c r="K94" s="68">
        <f t="shared" si="15"/>
        <v>-220994582.731696</v>
      </c>
      <c r="L94" s="68">
        <f t="shared" si="15"/>
        <v>-220402387.245342</v>
      </c>
      <c r="M94" s="68">
        <f t="shared" si="15"/>
        <v>-221063580.435814</v>
      </c>
      <c r="N94" s="68">
        <f t="shared" si="15"/>
        <v>-222883318.749896</v>
      </c>
      <c r="O94" s="68">
        <f t="shared" si="15"/>
        <v>-225788438.347223</v>
      </c>
      <c r="P94" s="68">
        <f t="shared" si="15"/>
        <v>-229724799.397735</v>
      </c>
      <c r="Q94" s="68">
        <f t="shared" si="15"/>
        <v>-234655076.434879</v>
      </c>
      <c r="R94" s="68">
        <f t="shared" si="15"/>
        <v>-240556931.672195</v>
      </c>
      <c r="S94" s="68">
        <f t="shared" si="15"/>
        <v>-247421517.960117</v>
      </c>
      <c r="T94" s="68">
        <f t="shared" si="15"/>
        <v>-255252266.387952</v>
      </c>
      <c r="U94" s="68">
        <f t="shared" si="15"/>
        <v>-264063920.641359</v>
      </c>
      <c r="V94" s="68">
        <f t="shared" si="15"/>
        <v>-273881786.293683</v>
      </c>
      <c r="W94" s="68">
        <f t="shared" si="15"/>
        <v>-284741168.398041</v>
      </c>
      <c r="X94" s="68">
        <f t="shared" si="15"/>
        <v>-296686975.190618</v>
      </c>
      <c r="Y94" s="68">
        <f t="shared" si="15"/>
        <v>-309773469.528491</v>
      </c>
      <c r="Z94" s="68">
        <f t="shared" si="15"/>
        <v>-324064152.965</v>
      </c>
    </row>
    <row r="95" ht="15" hidden="1" customHeight="1" spans="1:26">
      <c r="A95" s="67" t="s">
        <v>450</v>
      </c>
      <c r="B95" s="68">
        <f>$J$80+B94</f>
        <v>1100000000</v>
      </c>
      <c r="C95" s="68">
        <f t="shared" ref="C95:Z95" si="16">B95+C94</f>
        <v>807440102.048</v>
      </c>
      <c r="D95" s="68">
        <f t="shared" si="16"/>
        <v>532899499.00064</v>
      </c>
      <c r="E95" s="68">
        <f t="shared" si="16"/>
        <v>273046121.439171</v>
      </c>
      <c r="F95" s="68">
        <f t="shared" si="16"/>
        <v>24997376.3430128</v>
      </c>
      <c r="G95" s="68">
        <f t="shared" si="16"/>
        <v>-213751301.091144</v>
      </c>
      <c r="H95" s="68">
        <f t="shared" si="16"/>
        <v>-445387500.540794</v>
      </c>
      <c r="I95" s="68">
        <f t="shared" si="16"/>
        <v>-671834079.594063</v>
      </c>
      <c r="J95" s="68">
        <f t="shared" si="16"/>
        <v>-894793946.072092</v>
      </c>
      <c r="K95" s="68">
        <f t="shared" si="16"/>
        <v>-1115788528.80379</v>
      </c>
      <c r="L95" s="68">
        <f t="shared" si="16"/>
        <v>-1336190916.04913</v>
      </c>
      <c r="M95" s="68">
        <f t="shared" si="16"/>
        <v>-1557254496.48494</v>
      </c>
      <c r="N95" s="68">
        <f t="shared" si="16"/>
        <v>-1780137815.23484</v>
      </c>
      <c r="O95" s="68">
        <f t="shared" si="16"/>
        <v>-2005926253.58206</v>
      </c>
      <c r="P95" s="68">
        <f t="shared" si="16"/>
        <v>-2235651052.9798</v>
      </c>
      <c r="Q95" s="68">
        <f t="shared" si="16"/>
        <v>-2470306129.41468</v>
      </c>
      <c r="R95" s="68">
        <f t="shared" si="16"/>
        <v>-2710863061.08687</v>
      </c>
      <c r="S95" s="68">
        <f t="shared" si="16"/>
        <v>-2958284579.04699</v>
      </c>
      <c r="T95" s="68">
        <f t="shared" si="16"/>
        <v>-3213536845.43494</v>
      </c>
      <c r="U95" s="68">
        <f t="shared" si="16"/>
        <v>-3477600766.0763</v>
      </c>
      <c r="V95" s="68">
        <f t="shared" si="16"/>
        <v>-3751482552.36998</v>
      </c>
      <c r="W95" s="68">
        <f t="shared" si="16"/>
        <v>-4036223720.76802</v>
      </c>
      <c r="X95" s="68">
        <f t="shared" si="16"/>
        <v>-4332910695.95864</v>
      </c>
      <c r="Y95" s="68">
        <f t="shared" si="16"/>
        <v>-4642684165.48713</v>
      </c>
      <c r="Z95" s="68">
        <f t="shared" si="16"/>
        <v>-4966748318.45213</v>
      </c>
    </row>
    <row r="96" ht="15" hidden="1" customHeight="1" spans="1:26">
      <c r="A96" s="67" t="s">
        <v>451</v>
      </c>
      <c r="B96" s="68">
        <f>B94</f>
        <v>-400000000</v>
      </c>
      <c r="C96" s="68">
        <f t="shared" ref="C96:Z96" si="17">B96+C94</f>
        <v>-692559897.952</v>
      </c>
      <c r="D96" s="68">
        <f t="shared" si="17"/>
        <v>-967100500.99936</v>
      </c>
      <c r="E96" s="68">
        <f t="shared" si="17"/>
        <v>-1226953878.56083</v>
      </c>
      <c r="F96" s="68">
        <f t="shared" si="17"/>
        <v>-1475002623.65699</v>
      </c>
      <c r="G96" s="68">
        <f t="shared" si="17"/>
        <v>-1713751301.09114</v>
      </c>
      <c r="H96" s="68">
        <f t="shared" si="17"/>
        <v>-1945387500.54079</v>
      </c>
      <c r="I96" s="68">
        <f t="shared" si="17"/>
        <v>-2171834079.59406</v>
      </c>
      <c r="J96" s="68">
        <f t="shared" si="17"/>
        <v>-2394793946.07209</v>
      </c>
      <c r="K96" s="68">
        <f t="shared" si="17"/>
        <v>-2615788528.80379</v>
      </c>
      <c r="L96" s="68">
        <f t="shared" si="17"/>
        <v>-2836190916.04913</v>
      </c>
      <c r="M96" s="68">
        <f t="shared" si="17"/>
        <v>-3057254496.48494</v>
      </c>
      <c r="N96" s="68">
        <f t="shared" si="17"/>
        <v>-3280137815.23484</v>
      </c>
      <c r="O96" s="68">
        <f t="shared" si="17"/>
        <v>-3505926253.58206</v>
      </c>
      <c r="P96" s="68">
        <f t="shared" si="17"/>
        <v>-3735651052.9798</v>
      </c>
      <c r="Q96" s="68">
        <f t="shared" si="17"/>
        <v>-3970306129.41468</v>
      </c>
      <c r="R96" s="68">
        <f t="shared" si="17"/>
        <v>-4210863061.08687</v>
      </c>
      <c r="S96" s="68">
        <f t="shared" si="17"/>
        <v>-4458284579.04699</v>
      </c>
      <c r="T96" s="68">
        <f t="shared" si="17"/>
        <v>-4713536845.43494</v>
      </c>
      <c r="U96" s="68">
        <f t="shared" si="17"/>
        <v>-4977600766.0763</v>
      </c>
      <c r="V96" s="68">
        <f t="shared" si="17"/>
        <v>-5251482552.36998</v>
      </c>
      <c r="W96" s="68">
        <f t="shared" si="17"/>
        <v>-5536223720.76803</v>
      </c>
      <c r="X96" s="68">
        <f t="shared" si="17"/>
        <v>-5832910695.95864</v>
      </c>
      <c r="Y96" s="68">
        <f t="shared" si="17"/>
        <v>-6142684165.48713</v>
      </c>
      <c r="Z96" s="68">
        <f t="shared" si="17"/>
        <v>-6466748318.45213</v>
      </c>
    </row>
    <row r="97" ht="15" hidden="1" customHeight="1"/>
    <row r="98" ht="15" hidden="1" customHeight="1" spans="1:26">
      <c r="A98" s="67" t="s">
        <v>452</v>
      </c>
      <c r="C98" s="69">
        <f>$D$81*(1+$E$81)^0</f>
        <v>300</v>
      </c>
      <c r="D98" s="69">
        <f>$D$81*(1+$E$81)^1</f>
        <v>324</v>
      </c>
      <c r="E98" s="69">
        <f>$D$81*(1+$E$81)^2</f>
        <v>349.92</v>
      </c>
      <c r="F98" s="69">
        <f>$D$81*(1+$E$81)^3</f>
        <v>377.9136</v>
      </c>
      <c r="G98" s="69">
        <f>$D$81*(1+$E$81)^4</f>
        <v>408.146688</v>
      </c>
      <c r="H98" s="69">
        <f>$D$81*(1+$E$81)^5</f>
        <v>440.79842304</v>
      </c>
      <c r="I98" s="69">
        <f>$D$81*(1+$E$81)^6</f>
        <v>476.0622968832</v>
      </c>
      <c r="J98" s="69">
        <f>$D$81*(1+$E$81)^7</f>
        <v>514.147280633856</v>
      </c>
      <c r="K98" s="69">
        <f>$D$81*(1+$E$81)^8</f>
        <v>555.279063084565</v>
      </c>
      <c r="L98" s="69">
        <f>$D$81*(1+$E$81)^9</f>
        <v>599.70138813133</v>
      </c>
      <c r="M98" s="69">
        <f>$D$81*(1+$E$81)^10</f>
        <v>647.677499181836</v>
      </c>
      <c r="N98" s="69">
        <f>$D$81*(1+$E$81)^11</f>
        <v>699.491699116383</v>
      </c>
      <c r="O98" s="69">
        <f>$D$81*(1+$E$81)^12</f>
        <v>755.451035045694</v>
      </c>
      <c r="P98" s="69">
        <f>$D$81*(1+$E$81)^13</f>
        <v>815.88711784935</v>
      </c>
      <c r="Q98" s="69">
        <f>$D$81*(1+$E$81)^14</f>
        <v>881.158087277298</v>
      </c>
      <c r="R98" s="69">
        <f>$D$81*(1+$E$81)^15</f>
        <v>951.650734259482</v>
      </c>
      <c r="S98" s="69">
        <f>$D$81*(1+$E$81)^16</f>
        <v>1027.78279300024</v>
      </c>
      <c r="T98" s="69">
        <f>$D$81*(1+$E$81)^17</f>
        <v>1110.00541644026</v>
      </c>
      <c r="U98" s="69">
        <f>$D$81*(1+$E$81)^18</f>
        <v>1198.80584975548</v>
      </c>
      <c r="V98" s="69">
        <f>$D$81*(1+$E$81)^19</f>
        <v>1294.71031773592</v>
      </c>
      <c r="W98" s="69">
        <f>$D$81*(1+$E$81)^20</f>
        <v>1398.28714315479</v>
      </c>
      <c r="X98" s="69">
        <f>$D$81*(1+$E$81)^21</f>
        <v>1510.15011460718</v>
      </c>
      <c r="Y98" s="69">
        <f>$D$81*(1+$E$81)^22</f>
        <v>1630.96212377575</v>
      </c>
      <c r="Z98" s="69">
        <f>$D$81*(1+$E$81)^23</f>
        <v>1761.43909367781</v>
      </c>
    </row>
    <row r="99" ht="15" hidden="1" customHeight="1" spans="1:26">
      <c r="A99" s="67" t="s">
        <v>453</v>
      </c>
      <c r="B99" s="67">
        <v>0</v>
      </c>
      <c r="C99" s="69">
        <f t="shared" ref="C99:Z99" si="18">B99*(1-$F$81)+C98</f>
        <v>300</v>
      </c>
      <c r="D99" s="69">
        <f t="shared" si="18"/>
        <v>579</v>
      </c>
      <c r="E99" s="69">
        <f t="shared" si="18"/>
        <v>842.07</v>
      </c>
      <c r="F99" s="69">
        <f t="shared" si="18"/>
        <v>1093.6731</v>
      </c>
      <c r="G99" s="69">
        <f t="shared" si="18"/>
        <v>1337.768823</v>
      </c>
      <c r="H99" s="69">
        <f t="shared" si="18"/>
        <v>1577.90192259</v>
      </c>
      <c r="I99" s="69">
        <f t="shared" si="18"/>
        <v>1817.2789310847</v>
      </c>
      <c r="J99" s="69">
        <f t="shared" si="18"/>
        <v>2058.83437205585</v>
      </c>
      <c r="K99" s="69">
        <f t="shared" si="18"/>
        <v>2305.28827933204</v>
      </c>
      <c r="L99" s="69">
        <f t="shared" si="18"/>
        <v>2559.19642556356</v>
      </c>
      <c r="M99" s="69">
        <f t="shared" si="18"/>
        <v>2822.99446091086</v>
      </c>
      <c r="N99" s="69">
        <f t="shared" si="18"/>
        <v>3099.03699089062</v>
      </c>
      <c r="O99" s="69">
        <f t="shared" si="18"/>
        <v>3389.63247730272</v>
      </c>
      <c r="P99" s="69">
        <f t="shared" si="18"/>
        <v>3697.07472355666</v>
      </c>
      <c r="Q99" s="69">
        <f t="shared" si="18"/>
        <v>4023.67160230046</v>
      </c>
      <c r="R99" s="69">
        <f t="shared" si="18"/>
        <v>4371.77159621487</v>
      </c>
      <c r="S99" s="69">
        <f t="shared" si="18"/>
        <v>4743.78864978288</v>
      </c>
      <c r="T99" s="69">
        <f t="shared" si="18"/>
        <v>5142.22576875571</v>
      </c>
      <c r="U99" s="69">
        <f t="shared" si="18"/>
        <v>5569.69775319783</v>
      </c>
      <c r="V99" s="69">
        <f t="shared" si="18"/>
        <v>6028.95340795408</v>
      </c>
      <c r="W99" s="69">
        <f t="shared" si="18"/>
        <v>6522.89753991576</v>
      </c>
      <c r="X99" s="69">
        <f t="shared" si="18"/>
        <v>7054.61302353557</v>
      </c>
      <c r="Y99" s="69">
        <f t="shared" si="18"/>
        <v>7627.38319378098</v>
      </c>
      <c r="Z99" s="69">
        <f t="shared" si="18"/>
        <v>8244.71480839165</v>
      </c>
    </row>
    <row r="100" ht="15" hidden="1" customHeight="1" spans="1:26">
      <c r="A100" s="67" t="s">
        <v>454</v>
      </c>
      <c r="B100" s="68">
        <f>-$I$81</f>
        <v>-400000000</v>
      </c>
      <c r="C100" s="68">
        <f t="shared" ref="C100:Z100" si="19">C99*($B$81-$C$81)-C98*$G$81-$H$81</f>
        <v>-300929897.952</v>
      </c>
      <c r="D100" s="68">
        <f t="shared" si="19"/>
        <v>-290694703.04736</v>
      </c>
      <c r="E100" s="68">
        <f t="shared" si="19"/>
        <v>-283347130.561469</v>
      </c>
      <c r="F100" s="68">
        <f t="shared" si="19"/>
        <v>-278562224.586158</v>
      </c>
      <c r="G100" s="68">
        <f t="shared" si="19"/>
        <v>-276072427.595857</v>
      </c>
      <c r="H100" s="68">
        <f t="shared" si="19"/>
        <v>-275659663.089911</v>
      </c>
      <c r="I100" s="68">
        <f t="shared" si="19"/>
        <v>-277148661.230531</v>
      </c>
      <c r="J100" s="68">
        <f t="shared" si="19"/>
        <v>-280401345.458387</v>
      </c>
      <c r="K100" s="68">
        <f t="shared" si="19"/>
        <v>-285312125.72506</v>
      </c>
      <c r="L100" s="68">
        <f t="shared" si="19"/>
        <v>-291803967.518566</v>
      </c>
      <c r="M100" s="68">
        <f t="shared" si="19"/>
        <v>-299825125.895227</v>
      </c>
      <c r="N100" s="68">
        <f t="shared" si="19"/>
        <v>-309346450.795745</v>
      </c>
      <c r="O100" s="68">
        <f t="shared" si="19"/>
        <v>-320359184.463969</v>
      </c>
      <c r="P100" s="68">
        <f t="shared" si="19"/>
        <v>-332873184.184966</v>
      </c>
      <c r="Q100" s="68">
        <f t="shared" si="19"/>
        <v>-346915514.139062</v>
      </c>
      <c r="R100" s="68">
        <f t="shared" si="19"/>
        <v>-362529359.20659</v>
      </c>
      <c r="S100" s="68">
        <f t="shared" si="19"/>
        <v>-379773221.28906</v>
      </c>
      <c r="T100" s="68">
        <f t="shared" si="19"/>
        <v>-398720365.336236</v>
      </c>
      <c r="U100" s="68">
        <f t="shared" si="19"/>
        <v>-419458487.955579</v>
      </c>
      <c r="V100" s="68">
        <f t="shared" si="19"/>
        <v>-442089586.375602</v>
      </c>
      <c r="W100" s="68">
        <f t="shared" si="19"/>
        <v>-466730009.761691</v>
      </c>
      <c r="X100" s="68">
        <f t="shared" si="19"/>
        <v>-493510678.54726</v>
      </c>
      <c r="Y100" s="68">
        <f t="shared" si="19"/>
        <v>-522577460.634981</v>
      </c>
      <c r="Z100" s="68">
        <f t="shared" si="19"/>
        <v>-554091696.119127</v>
      </c>
    </row>
    <row r="101" ht="15" hidden="1" customHeight="1" spans="1:26">
      <c r="A101" s="67" t="s">
        <v>455</v>
      </c>
      <c r="B101" s="68">
        <f>$J$81+B100</f>
        <v>1100000000</v>
      </c>
      <c r="C101" s="68">
        <f t="shared" ref="C101:Z101" si="20">B101+C100</f>
        <v>799070102.048</v>
      </c>
      <c r="D101" s="68">
        <f t="shared" si="20"/>
        <v>508375399.00064</v>
      </c>
      <c r="E101" s="68">
        <f t="shared" si="20"/>
        <v>225028268.439171</v>
      </c>
      <c r="F101" s="68">
        <f t="shared" si="20"/>
        <v>-53533956.1469872</v>
      </c>
      <c r="G101" s="68">
        <f t="shared" si="20"/>
        <v>-329606383.742844</v>
      </c>
      <c r="H101" s="68">
        <f t="shared" si="20"/>
        <v>-605266046.832756</v>
      </c>
      <c r="I101" s="68">
        <f t="shared" si="20"/>
        <v>-882414708.063287</v>
      </c>
      <c r="J101" s="68">
        <f t="shared" si="20"/>
        <v>-1162816053.52167</v>
      </c>
      <c r="K101" s="68">
        <f t="shared" si="20"/>
        <v>-1448128179.24673</v>
      </c>
      <c r="L101" s="68">
        <f t="shared" si="20"/>
        <v>-1739932146.7653</v>
      </c>
      <c r="M101" s="68">
        <f t="shared" si="20"/>
        <v>-2039757272.66053</v>
      </c>
      <c r="N101" s="68">
        <f t="shared" si="20"/>
        <v>-2349103723.45627</v>
      </c>
      <c r="O101" s="68">
        <f t="shared" si="20"/>
        <v>-2669462907.92024</v>
      </c>
      <c r="P101" s="68">
        <f t="shared" si="20"/>
        <v>-3002336092.10521</v>
      </c>
      <c r="Q101" s="68">
        <f t="shared" si="20"/>
        <v>-3349251606.24427</v>
      </c>
      <c r="R101" s="68">
        <f t="shared" si="20"/>
        <v>-3711780965.45086</v>
      </c>
      <c r="S101" s="68">
        <f t="shared" si="20"/>
        <v>-4091554186.73992</v>
      </c>
      <c r="T101" s="68">
        <f t="shared" si="20"/>
        <v>-4490274552.07615</v>
      </c>
      <c r="U101" s="68">
        <f t="shared" si="20"/>
        <v>-4909733040.03173</v>
      </c>
      <c r="V101" s="68">
        <f t="shared" si="20"/>
        <v>-5351822626.40733</v>
      </c>
      <c r="W101" s="68">
        <f t="shared" si="20"/>
        <v>-5818552636.16903</v>
      </c>
      <c r="X101" s="68">
        <f t="shared" si="20"/>
        <v>-6312063314.71629</v>
      </c>
      <c r="Y101" s="68">
        <f t="shared" si="20"/>
        <v>-6834640775.35127</v>
      </c>
      <c r="Z101" s="68">
        <f t="shared" si="20"/>
        <v>-7388732471.47039</v>
      </c>
    </row>
    <row r="102" ht="15" hidden="1" customHeight="1" spans="1:26">
      <c r="A102" s="67" t="s">
        <v>456</v>
      </c>
      <c r="B102" s="68">
        <f>B100</f>
        <v>-400000000</v>
      </c>
      <c r="C102" s="68">
        <f t="shared" ref="C102:Z102" si="21">B102+C100</f>
        <v>-700929897.952</v>
      </c>
      <c r="D102" s="68">
        <f t="shared" si="21"/>
        <v>-991624600.99936</v>
      </c>
      <c r="E102" s="68">
        <f t="shared" si="21"/>
        <v>-1274971731.56083</v>
      </c>
      <c r="F102" s="68">
        <f t="shared" si="21"/>
        <v>-1553533956.14699</v>
      </c>
      <c r="G102" s="68">
        <f t="shared" si="21"/>
        <v>-1829606383.74284</v>
      </c>
      <c r="H102" s="68">
        <f t="shared" si="21"/>
        <v>-2105266046.83276</v>
      </c>
      <c r="I102" s="68">
        <f t="shared" si="21"/>
        <v>-2382414708.06329</v>
      </c>
      <c r="J102" s="68">
        <f t="shared" si="21"/>
        <v>-2662816053.52167</v>
      </c>
      <c r="K102" s="68">
        <f t="shared" si="21"/>
        <v>-2948128179.24673</v>
      </c>
      <c r="L102" s="68">
        <f t="shared" si="21"/>
        <v>-3239932146.7653</v>
      </c>
      <c r="M102" s="68">
        <f t="shared" si="21"/>
        <v>-3539757272.66053</v>
      </c>
      <c r="N102" s="68">
        <f t="shared" si="21"/>
        <v>-3849103723.45627</v>
      </c>
      <c r="O102" s="68">
        <f t="shared" si="21"/>
        <v>-4169462907.92024</v>
      </c>
      <c r="P102" s="68">
        <f t="shared" si="21"/>
        <v>-4502336092.10521</v>
      </c>
      <c r="Q102" s="68">
        <f t="shared" si="21"/>
        <v>-4849251606.24427</v>
      </c>
      <c r="R102" s="68">
        <f t="shared" si="21"/>
        <v>-5211780965.45086</v>
      </c>
      <c r="S102" s="68">
        <f t="shared" si="21"/>
        <v>-5591554186.73992</v>
      </c>
      <c r="T102" s="68">
        <f t="shared" si="21"/>
        <v>-5990274552.07615</v>
      </c>
      <c r="U102" s="68">
        <f t="shared" si="21"/>
        <v>-6409733040.03173</v>
      </c>
      <c r="V102" s="68">
        <f t="shared" si="21"/>
        <v>-6851822626.40733</v>
      </c>
      <c r="W102" s="68">
        <f t="shared" si="21"/>
        <v>-7318552636.16903</v>
      </c>
      <c r="X102" s="68">
        <f t="shared" si="21"/>
        <v>-7812063314.71629</v>
      </c>
      <c r="Y102" s="68">
        <f t="shared" si="21"/>
        <v>-8334640775.35127</v>
      </c>
      <c r="Z102" s="68">
        <f t="shared" si="21"/>
        <v>-8888732471.47039</v>
      </c>
    </row>
    <row r="103" ht="15" hidden="1" customHeight="1"/>
    <row r="104" ht="15" hidden="1" customHeight="1" spans="1:26">
      <c r="A104" s="67" t="s">
        <v>457</v>
      </c>
      <c r="C104" s="69">
        <f>$D$82*(1+$E$82)^0</f>
        <v>300</v>
      </c>
      <c r="D104" s="69">
        <f>$D$82*(1+$E$82)^1</f>
        <v>324</v>
      </c>
      <c r="E104" s="69">
        <f>$D$82*(1+$E$82)^2</f>
        <v>349.92</v>
      </c>
      <c r="F104" s="69">
        <f>$D$82*(1+$E$82)^3</f>
        <v>377.9136</v>
      </c>
      <c r="G104" s="69">
        <f>$D$82*(1+$E$82)^4</f>
        <v>408.146688</v>
      </c>
      <c r="H104" s="69">
        <f>$D$82*(1+$E$82)^5</f>
        <v>440.79842304</v>
      </c>
      <c r="I104" s="69">
        <f>$D$82*(1+$E$82)^6</f>
        <v>476.0622968832</v>
      </c>
      <c r="J104" s="69">
        <f>$D$82*(1+$E$82)^7</f>
        <v>514.147280633856</v>
      </c>
      <c r="K104" s="69">
        <f>$D$82*(1+$E$82)^8</f>
        <v>555.279063084565</v>
      </c>
      <c r="L104" s="69">
        <f>$D$82*(1+$E$82)^9</f>
        <v>599.70138813133</v>
      </c>
      <c r="M104" s="69">
        <f>$D$82*(1+$E$82)^10</f>
        <v>647.677499181836</v>
      </c>
      <c r="N104" s="69">
        <f>$D$82*(1+$E$82)^11</f>
        <v>699.491699116383</v>
      </c>
      <c r="O104" s="69">
        <f>$D$82*(1+$E$82)^12</f>
        <v>755.451035045694</v>
      </c>
      <c r="P104" s="69">
        <f>$D$82*(1+$E$82)^13</f>
        <v>815.88711784935</v>
      </c>
      <c r="Q104" s="69">
        <f>$D$82*(1+$E$82)^14</f>
        <v>881.158087277298</v>
      </c>
      <c r="R104" s="69">
        <f>$D$82*(1+$E$82)^15</f>
        <v>951.650734259482</v>
      </c>
      <c r="S104" s="69">
        <f>$D$82*(1+$E$82)^16</f>
        <v>1027.78279300024</v>
      </c>
      <c r="T104" s="69">
        <f>$D$82*(1+$E$82)^17</f>
        <v>1110.00541644026</v>
      </c>
      <c r="U104" s="69">
        <f>$D$82*(1+$E$82)^18</f>
        <v>1198.80584975548</v>
      </c>
      <c r="V104" s="69">
        <f>$D$82*(1+$E$82)^19</f>
        <v>1294.71031773592</v>
      </c>
      <c r="W104" s="69">
        <f>$D$82*(1+$E$82)^20</f>
        <v>1398.28714315479</v>
      </c>
      <c r="X104" s="69">
        <f>$D$82*(1+$E$82)^21</f>
        <v>1510.15011460718</v>
      </c>
      <c r="Y104" s="69">
        <f>$D$82*(1+$E$82)^22</f>
        <v>1630.96212377575</v>
      </c>
      <c r="Z104" s="69">
        <f>$D$82*(1+$E$82)^23</f>
        <v>1761.43909367781</v>
      </c>
    </row>
    <row r="105" ht="15" hidden="1" customHeight="1" spans="1:26">
      <c r="A105" s="67" t="s">
        <v>458</v>
      </c>
      <c r="B105" s="67">
        <v>0</v>
      </c>
      <c r="C105" s="69">
        <f t="shared" ref="C105:Z105" si="22">B105*(1-$F$82)+C104</f>
        <v>300</v>
      </c>
      <c r="D105" s="69">
        <f t="shared" si="22"/>
        <v>579</v>
      </c>
      <c r="E105" s="69">
        <f t="shared" si="22"/>
        <v>842.07</v>
      </c>
      <c r="F105" s="69">
        <f t="shared" si="22"/>
        <v>1093.6731</v>
      </c>
      <c r="G105" s="69">
        <f t="shared" si="22"/>
        <v>1337.768823</v>
      </c>
      <c r="H105" s="69">
        <f t="shared" si="22"/>
        <v>1577.90192259</v>
      </c>
      <c r="I105" s="69">
        <f t="shared" si="22"/>
        <v>1817.2789310847</v>
      </c>
      <c r="J105" s="69">
        <f t="shared" si="22"/>
        <v>2058.83437205585</v>
      </c>
      <c r="K105" s="69">
        <f t="shared" si="22"/>
        <v>2305.28827933204</v>
      </c>
      <c r="L105" s="69">
        <f t="shared" si="22"/>
        <v>2559.19642556356</v>
      </c>
      <c r="M105" s="69">
        <f t="shared" si="22"/>
        <v>2822.99446091086</v>
      </c>
      <c r="N105" s="69">
        <f t="shared" si="22"/>
        <v>3099.03699089062</v>
      </c>
      <c r="O105" s="69">
        <f t="shared" si="22"/>
        <v>3389.63247730272</v>
      </c>
      <c r="P105" s="69">
        <f t="shared" si="22"/>
        <v>3697.07472355666</v>
      </c>
      <c r="Q105" s="69">
        <f t="shared" si="22"/>
        <v>4023.67160230046</v>
      </c>
      <c r="R105" s="69">
        <f t="shared" si="22"/>
        <v>4371.77159621487</v>
      </c>
      <c r="S105" s="69">
        <f t="shared" si="22"/>
        <v>4743.78864978288</v>
      </c>
      <c r="T105" s="69">
        <f t="shared" si="22"/>
        <v>5142.22576875571</v>
      </c>
      <c r="U105" s="69">
        <f t="shared" si="22"/>
        <v>5569.69775319783</v>
      </c>
      <c r="V105" s="69">
        <f t="shared" si="22"/>
        <v>6028.95340795408</v>
      </c>
      <c r="W105" s="69">
        <f t="shared" si="22"/>
        <v>6522.89753991576</v>
      </c>
      <c r="X105" s="69">
        <f t="shared" si="22"/>
        <v>7054.61302353557</v>
      </c>
      <c r="Y105" s="69">
        <f t="shared" si="22"/>
        <v>7627.38319378098</v>
      </c>
      <c r="Z105" s="69">
        <f t="shared" si="22"/>
        <v>8244.71480839165</v>
      </c>
    </row>
    <row r="106" ht="15" hidden="1" customHeight="1" spans="1:26">
      <c r="A106" s="67" t="s">
        <v>459</v>
      </c>
      <c r="B106" s="68">
        <f>-$I$82</f>
        <v>-400000000</v>
      </c>
      <c r="C106" s="68">
        <f t="shared" ref="C106:Z106" si="23">C105*($B$82-$C$82)-C104*$G$82-$H$82</f>
        <v>-293441877.5424</v>
      </c>
      <c r="D106" s="68">
        <f t="shared" si="23"/>
        <v>-276242823.656832</v>
      </c>
      <c r="E106" s="68">
        <f t="shared" si="23"/>
        <v>-262329006.073763</v>
      </c>
      <c r="F106" s="68">
        <f t="shared" si="23"/>
        <v>-251264069.60539</v>
      </c>
      <c r="G106" s="68">
        <f t="shared" si="23"/>
        <v>-242681626.762689</v>
      </c>
      <c r="H106" s="68">
        <f t="shared" si="23"/>
        <v>-236275123.754241</v>
      </c>
      <c r="I106" s="68">
        <f t="shared" si="23"/>
        <v>-231789255.477537</v>
      </c>
      <c r="J106" s="68">
        <f t="shared" si="23"/>
        <v>-229012699.465253</v>
      </c>
      <c r="K106" s="68">
        <f t="shared" si="23"/>
        <v>-227771973.43956</v>
      </c>
      <c r="L106" s="68">
        <f t="shared" si="23"/>
        <v>-227926250.629248</v>
      </c>
      <c r="M106" s="68">
        <f t="shared" si="23"/>
        <v>-229362992.096933</v>
      </c>
      <c r="N106" s="68">
        <f t="shared" si="23"/>
        <v>-231994276.66943</v>
      </c>
      <c r="O106" s="68">
        <f t="shared" si="23"/>
        <v>-235753727.227016</v>
      </c>
      <c r="P106" s="68">
        <f t="shared" si="23"/>
        <v>-240593947.565604</v>
      </c>
      <c r="Q106" s="68">
        <f t="shared" si="23"/>
        <v>-246484397.207216</v>
      </c>
      <c r="R106" s="68">
        <f t="shared" si="23"/>
        <v>-253409642.744701</v>
      </c>
      <c r="S106" s="68">
        <f t="shared" si="23"/>
        <v>-261367933.86105</v>
      </c>
      <c r="T106" s="68">
        <f t="shared" si="23"/>
        <v>-270370060.31219</v>
      </c>
      <c r="U106" s="68">
        <f t="shared" si="23"/>
        <v>-280438453.118083</v>
      </c>
      <c r="V106" s="68">
        <f t="shared" si="23"/>
        <v>-291606499.15131</v>
      </c>
      <c r="W106" s="68">
        <f t="shared" si="23"/>
        <v>-303918043.399628</v>
      </c>
      <c r="X106" s="68">
        <f t="shared" si="23"/>
        <v>-317427057.540379</v>
      </c>
      <c r="Y106" s="68">
        <f t="shared" si="23"/>
        <v>-332197457.212074</v>
      </c>
      <c r="Z106" s="68">
        <f t="shared" si="23"/>
        <v>-348303053.597234</v>
      </c>
    </row>
    <row r="107" ht="15" hidden="1" customHeight="1" spans="1:26">
      <c r="A107" s="67" t="s">
        <v>460</v>
      </c>
      <c r="B107" s="68">
        <f>$J$82+B106</f>
        <v>1100000000</v>
      </c>
      <c r="C107" s="68">
        <f t="shared" ref="C107:Z107" si="24">B107+C106</f>
        <v>806558122.4576</v>
      </c>
      <c r="D107" s="68">
        <f t="shared" si="24"/>
        <v>530315298.800768</v>
      </c>
      <c r="E107" s="68">
        <f t="shared" si="24"/>
        <v>267986292.727005</v>
      </c>
      <c r="F107" s="68">
        <f t="shared" si="24"/>
        <v>16722223.1216154</v>
      </c>
      <c r="G107" s="68">
        <f t="shared" si="24"/>
        <v>-225959403.641073</v>
      </c>
      <c r="H107" s="68">
        <f t="shared" si="24"/>
        <v>-462234527.395314</v>
      </c>
      <c r="I107" s="68">
        <f t="shared" si="24"/>
        <v>-694023782.872851</v>
      </c>
      <c r="J107" s="68">
        <f t="shared" si="24"/>
        <v>-923036482.338105</v>
      </c>
      <c r="K107" s="68">
        <f t="shared" si="24"/>
        <v>-1150808455.77766</v>
      </c>
      <c r="L107" s="68">
        <f t="shared" si="24"/>
        <v>-1378734706.40691</v>
      </c>
      <c r="M107" s="68">
        <f t="shared" si="24"/>
        <v>-1608097698.50385</v>
      </c>
      <c r="N107" s="68">
        <f t="shared" si="24"/>
        <v>-1840091975.17328</v>
      </c>
      <c r="O107" s="68">
        <f t="shared" si="24"/>
        <v>-2075845702.40029</v>
      </c>
      <c r="P107" s="68">
        <f t="shared" si="24"/>
        <v>-2316439649.9659</v>
      </c>
      <c r="Q107" s="68">
        <f t="shared" si="24"/>
        <v>-2562924047.17311</v>
      </c>
      <c r="R107" s="68">
        <f t="shared" si="24"/>
        <v>-2816333689.91781</v>
      </c>
      <c r="S107" s="68">
        <f t="shared" si="24"/>
        <v>-3077701623.77886</v>
      </c>
      <c r="T107" s="68">
        <f t="shared" si="24"/>
        <v>-3348071684.09105</v>
      </c>
      <c r="U107" s="68">
        <f t="shared" si="24"/>
        <v>-3628510137.20914</v>
      </c>
      <c r="V107" s="68">
        <f t="shared" si="24"/>
        <v>-3920116636.36045</v>
      </c>
      <c r="W107" s="68">
        <f t="shared" si="24"/>
        <v>-4224034679.76007</v>
      </c>
      <c r="X107" s="68">
        <f t="shared" si="24"/>
        <v>-4541461737.30045</v>
      </c>
      <c r="Y107" s="68">
        <f t="shared" si="24"/>
        <v>-4873659194.51253</v>
      </c>
      <c r="Z107" s="68">
        <f t="shared" si="24"/>
        <v>-5221962248.10976</v>
      </c>
    </row>
    <row r="108" ht="15" hidden="1" customHeight="1" spans="1:26">
      <c r="A108" s="67" t="s">
        <v>461</v>
      </c>
      <c r="B108" s="68">
        <f>B106</f>
        <v>-400000000</v>
      </c>
      <c r="C108" s="68">
        <f t="shared" ref="C108:Z108" si="25">B108+C106</f>
        <v>-693441877.5424</v>
      </c>
      <c r="D108" s="68">
        <f t="shared" si="25"/>
        <v>-969684701.199232</v>
      </c>
      <c r="E108" s="68">
        <f t="shared" si="25"/>
        <v>-1232013707.27299</v>
      </c>
      <c r="F108" s="68">
        <f t="shared" si="25"/>
        <v>-1483277776.87838</v>
      </c>
      <c r="G108" s="68">
        <f t="shared" si="25"/>
        <v>-1725959403.64107</v>
      </c>
      <c r="H108" s="68">
        <f t="shared" si="25"/>
        <v>-1962234527.39531</v>
      </c>
      <c r="I108" s="68">
        <f t="shared" si="25"/>
        <v>-2194023782.87285</v>
      </c>
      <c r="J108" s="68">
        <f t="shared" si="25"/>
        <v>-2423036482.3381</v>
      </c>
      <c r="K108" s="68">
        <f t="shared" si="25"/>
        <v>-2650808455.77766</v>
      </c>
      <c r="L108" s="68">
        <f t="shared" si="25"/>
        <v>-2878734706.40691</v>
      </c>
      <c r="M108" s="68">
        <f t="shared" si="25"/>
        <v>-3108097698.50384</v>
      </c>
      <c r="N108" s="68">
        <f t="shared" si="25"/>
        <v>-3340091975.17327</v>
      </c>
      <c r="O108" s="68">
        <f t="shared" si="25"/>
        <v>-3575845702.40029</v>
      </c>
      <c r="P108" s="68">
        <f t="shared" si="25"/>
        <v>-3816439649.9659</v>
      </c>
      <c r="Q108" s="68">
        <f t="shared" si="25"/>
        <v>-4062924047.17311</v>
      </c>
      <c r="R108" s="68">
        <f t="shared" si="25"/>
        <v>-4316333689.91781</v>
      </c>
      <c r="S108" s="68">
        <f t="shared" si="25"/>
        <v>-4577701623.77886</v>
      </c>
      <c r="T108" s="68">
        <f t="shared" si="25"/>
        <v>-4848071684.09105</v>
      </c>
      <c r="U108" s="68">
        <f t="shared" si="25"/>
        <v>-5128510137.20914</v>
      </c>
      <c r="V108" s="68">
        <f t="shared" si="25"/>
        <v>-5420116636.36045</v>
      </c>
      <c r="W108" s="68">
        <f t="shared" si="25"/>
        <v>-5724034679.76007</v>
      </c>
      <c r="X108" s="68">
        <f t="shared" si="25"/>
        <v>-6041461737.30045</v>
      </c>
      <c r="Y108" s="68">
        <f t="shared" si="25"/>
        <v>-6373659194.51253</v>
      </c>
      <c r="Z108" s="68">
        <f t="shared" si="25"/>
        <v>-6721962248.10976</v>
      </c>
    </row>
    <row r="109" ht="15" hidden="1" customHeight="1"/>
    <row r="110" ht="15" hidden="1" customHeight="1" spans="1:26">
      <c r="A110" s="67" t="s">
        <v>462</v>
      </c>
      <c r="C110" s="69">
        <f>$D$83*(1+$E$83)^0</f>
        <v>300</v>
      </c>
      <c r="D110" s="69">
        <f>$D$83*(1+$E$83)^1</f>
        <v>324</v>
      </c>
      <c r="E110" s="69">
        <f>$D$83*(1+$E$83)^2</f>
        <v>349.92</v>
      </c>
      <c r="F110" s="69">
        <f>$D$83*(1+$E$83)^3</f>
        <v>377.9136</v>
      </c>
      <c r="G110" s="69">
        <f>$D$83*(1+$E$83)^4</f>
        <v>408.146688</v>
      </c>
      <c r="H110" s="69">
        <f>$D$83*(1+$E$83)^5</f>
        <v>440.79842304</v>
      </c>
      <c r="I110" s="69">
        <f>$D$83*(1+$E$83)^6</f>
        <v>476.0622968832</v>
      </c>
      <c r="J110" s="69">
        <f>$D$83*(1+$E$83)^7</f>
        <v>514.147280633856</v>
      </c>
      <c r="K110" s="69">
        <f>$D$83*(1+$E$83)^8</f>
        <v>555.279063084565</v>
      </c>
      <c r="L110" s="69">
        <f>$D$83*(1+$E$83)^9</f>
        <v>599.70138813133</v>
      </c>
      <c r="M110" s="69">
        <f>$D$83*(1+$E$83)^10</f>
        <v>647.677499181836</v>
      </c>
      <c r="N110" s="69">
        <f>$D$83*(1+$E$83)^11</f>
        <v>699.491699116383</v>
      </c>
      <c r="O110" s="69">
        <f>$D$83*(1+$E$83)^12</f>
        <v>755.451035045694</v>
      </c>
      <c r="P110" s="69">
        <f>$D$83*(1+$E$83)^13</f>
        <v>815.88711784935</v>
      </c>
      <c r="Q110" s="69">
        <f>$D$83*(1+$E$83)^14</f>
        <v>881.158087277298</v>
      </c>
      <c r="R110" s="69">
        <f>$D$83*(1+$E$83)^15</f>
        <v>951.650734259482</v>
      </c>
      <c r="S110" s="69">
        <f>$D$83*(1+$E$83)^16</f>
        <v>1027.78279300024</v>
      </c>
      <c r="T110" s="69">
        <f>$D$83*(1+$E$83)^17</f>
        <v>1110.00541644026</v>
      </c>
      <c r="U110" s="69">
        <f>$D$83*(1+$E$83)^18</f>
        <v>1198.80584975548</v>
      </c>
      <c r="V110" s="69">
        <f>$D$83*(1+$E$83)^19</f>
        <v>1294.71031773592</v>
      </c>
      <c r="W110" s="69">
        <f>$D$83*(1+$E$83)^20</f>
        <v>1398.28714315479</v>
      </c>
      <c r="X110" s="69">
        <f>$D$83*(1+$E$83)^21</f>
        <v>1510.15011460718</v>
      </c>
      <c r="Y110" s="69">
        <f>$D$83*(1+$E$83)^22</f>
        <v>1630.96212377575</v>
      </c>
      <c r="Z110" s="69">
        <f>$D$83*(1+$E$83)^23</f>
        <v>1761.43909367781</v>
      </c>
    </row>
    <row r="111" ht="15" hidden="1" customHeight="1" spans="1:26">
      <c r="A111" s="67" t="s">
        <v>463</v>
      </c>
      <c r="B111" s="67">
        <v>0</v>
      </c>
      <c r="C111" s="69">
        <f t="shared" ref="C111:Z111" si="26">B111*(1-$F$83)+C110</f>
        <v>300</v>
      </c>
      <c r="D111" s="69">
        <f t="shared" si="26"/>
        <v>570</v>
      </c>
      <c r="E111" s="69">
        <f t="shared" si="26"/>
        <v>817.32</v>
      </c>
      <c r="F111" s="69">
        <f t="shared" si="26"/>
        <v>1048.116</v>
      </c>
      <c r="G111" s="69">
        <f t="shared" si="26"/>
        <v>1267.601808</v>
      </c>
      <c r="H111" s="69">
        <f t="shared" si="26"/>
        <v>1480.2319056</v>
      </c>
      <c r="I111" s="69">
        <f t="shared" si="26"/>
        <v>1689.8524594752</v>
      </c>
      <c r="J111" s="69">
        <f t="shared" si="26"/>
        <v>1899.82629740352</v>
      </c>
      <c r="K111" s="69">
        <f t="shared" si="26"/>
        <v>2113.13662695545</v>
      </c>
      <c r="L111" s="69">
        <f t="shared" si="26"/>
        <v>2332.4734222348</v>
      </c>
      <c r="M111" s="69">
        <f t="shared" si="26"/>
        <v>2560.30570541437</v>
      </c>
      <c r="N111" s="69">
        <f t="shared" si="26"/>
        <v>2798.94237755617</v>
      </c>
      <c r="O111" s="69">
        <f t="shared" si="26"/>
        <v>3050.58378464175</v>
      </c>
      <c r="P111" s="69">
        <f t="shared" si="26"/>
        <v>3317.36582125559</v>
      </c>
      <c r="Q111" s="69">
        <f t="shared" si="26"/>
        <v>3601.39806070688</v>
      </c>
      <c r="R111" s="69">
        <f t="shared" si="26"/>
        <v>3904.79714403912</v>
      </c>
      <c r="S111" s="69">
        <f t="shared" si="26"/>
        <v>4229.71645111232</v>
      </c>
      <c r="T111" s="69">
        <f t="shared" si="26"/>
        <v>4578.37290635236</v>
      </c>
      <c r="U111" s="69">
        <f t="shared" si="26"/>
        <v>4953.07163296442</v>
      </c>
      <c r="V111" s="69">
        <f t="shared" si="26"/>
        <v>5356.22905676674</v>
      </c>
      <c r="W111" s="69">
        <f t="shared" si="26"/>
        <v>5790.39496970352</v>
      </c>
      <c r="X111" s="69">
        <f t="shared" si="26"/>
        <v>6258.27398976406</v>
      </c>
      <c r="Y111" s="69">
        <f t="shared" si="26"/>
        <v>6762.74679538228</v>
      </c>
      <c r="Z111" s="69">
        <f t="shared" si="26"/>
        <v>7306.89146589128</v>
      </c>
    </row>
    <row r="112" ht="15" hidden="1" customHeight="1" spans="1:26">
      <c r="A112" s="67" t="s">
        <v>464</v>
      </c>
      <c r="B112" s="68">
        <f>-$I$83</f>
        <v>-400000000</v>
      </c>
      <c r="C112" s="68">
        <f t="shared" ref="C112:Z112" si="27">C111*($B$83-$C$83)-C110*$G$83-$H$83</f>
        <v>-292559897.952</v>
      </c>
      <c r="D112" s="68">
        <f t="shared" si="27"/>
        <v>-275663806.1088</v>
      </c>
      <c r="E112" s="68">
        <f t="shared" si="27"/>
        <v>-262942185.980429</v>
      </c>
      <c r="F112" s="68">
        <f t="shared" si="27"/>
        <v>-253734286.672861</v>
      </c>
      <c r="G112" s="68">
        <f t="shared" si="27"/>
        <v>-247505544.774169</v>
      </c>
      <c r="H112" s="68">
        <f t="shared" si="27"/>
        <v>-243825450.793435</v>
      </c>
      <c r="I112" s="68">
        <f t="shared" si="27"/>
        <v>-242349446.055522</v>
      </c>
      <c r="J112" s="68">
        <f t="shared" si="27"/>
        <v>-242804128.282827</v>
      </c>
      <c r="K112" s="68">
        <f t="shared" si="27"/>
        <v>-244975174.3106</v>
      </c>
      <c r="L112" s="68">
        <f t="shared" si="27"/>
        <v>-248697495.182869</v>
      </c>
      <c r="M112" s="68">
        <f t="shared" si="27"/>
        <v>-253847226.477983</v>
      </c>
      <c r="N112" s="68">
        <f t="shared" si="27"/>
        <v>-260335228.574219</v>
      </c>
      <c r="O112" s="68">
        <f t="shared" si="27"/>
        <v>-268101830.522115</v>
      </c>
      <c r="P112" s="68">
        <f t="shared" si="27"/>
        <v>-277112599.56669</v>
      </c>
      <c r="Q112" s="68">
        <f t="shared" si="27"/>
        <v>-287354958.066325</v>
      </c>
      <c r="R112" s="68">
        <f t="shared" si="27"/>
        <v>-298835502.149758</v>
      </c>
      <c r="S112" s="68">
        <f t="shared" si="27"/>
        <v>-311577903.221002</v>
      </c>
      <c r="T112" s="68">
        <f t="shared" si="27"/>
        <v>-325621295.416079</v>
      </c>
      <c r="U112" s="68">
        <f t="shared" si="27"/>
        <v>-341019070.19803</v>
      </c>
      <c r="V112" s="68">
        <f t="shared" si="27"/>
        <v>-357838014.155778</v>
      </c>
      <c r="W112" s="68">
        <f t="shared" si="27"/>
        <v>-376157738.328602</v>
      </c>
      <c r="X112" s="68">
        <f t="shared" si="27"/>
        <v>-396070357.487988</v>
      </c>
      <c r="Y112" s="68">
        <f t="shared" si="27"/>
        <v>-417680386.163366</v>
      </c>
      <c r="Z112" s="68">
        <f t="shared" si="27"/>
        <v>-441104825.119034</v>
      </c>
    </row>
    <row r="113" ht="15" hidden="1" customHeight="1" spans="1:26">
      <c r="A113" s="67" t="s">
        <v>465</v>
      </c>
      <c r="B113" s="68">
        <f>$J$83+B112</f>
        <v>1100000000</v>
      </c>
      <c r="C113" s="68">
        <f t="shared" ref="C113:Z113" si="28">B113+C112</f>
        <v>807440102.048</v>
      </c>
      <c r="D113" s="68">
        <f t="shared" si="28"/>
        <v>531776295.9392</v>
      </c>
      <c r="E113" s="68">
        <f t="shared" si="28"/>
        <v>268834109.958771</v>
      </c>
      <c r="F113" s="68">
        <f t="shared" si="28"/>
        <v>15099823.2859097</v>
      </c>
      <c r="G113" s="68">
        <f t="shared" si="28"/>
        <v>-232405721.488259</v>
      </c>
      <c r="H113" s="68">
        <f t="shared" si="28"/>
        <v>-476231172.281694</v>
      </c>
      <c r="I113" s="68">
        <f t="shared" si="28"/>
        <v>-718580618.337217</v>
      </c>
      <c r="J113" s="68">
        <f t="shared" si="28"/>
        <v>-961384746.620044</v>
      </c>
      <c r="K113" s="68">
        <f t="shared" si="28"/>
        <v>-1206359920.93064</v>
      </c>
      <c r="L113" s="68">
        <f t="shared" si="28"/>
        <v>-1455057416.11351</v>
      </c>
      <c r="M113" s="68">
        <f t="shared" si="28"/>
        <v>-1708904642.5915</v>
      </c>
      <c r="N113" s="68">
        <f t="shared" si="28"/>
        <v>-1969239871.16571</v>
      </c>
      <c r="O113" s="68">
        <f t="shared" si="28"/>
        <v>-2237341701.68783</v>
      </c>
      <c r="P113" s="68">
        <f t="shared" si="28"/>
        <v>-2514454301.25452</v>
      </c>
      <c r="Q113" s="68">
        <f t="shared" si="28"/>
        <v>-2801809259.32084</v>
      </c>
      <c r="R113" s="68">
        <f t="shared" si="28"/>
        <v>-3100644761.4706</v>
      </c>
      <c r="S113" s="68">
        <f t="shared" si="28"/>
        <v>-3412222664.6916</v>
      </c>
      <c r="T113" s="68">
        <f t="shared" si="28"/>
        <v>-3737843960.10768</v>
      </c>
      <c r="U113" s="68">
        <f t="shared" si="28"/>
        <v>-4078863030.30571</v>
      </c>
      <c r="V113" s="68">
        <f t="shared" si="28"/>
        <v>-4436701044.46149</v>
      </c>
      <c r="W113" s="68">
        <f t="shared" si="28"/>
        <v>-4812858782.79009</v>
      </c>
      <c r="X113" s="68">
        <f t="shared" si="28"/>
        <v>-5208929140.27808</v>
      </c>
      <c r="Y113" s="68">
        <f t="shared" si="28"/>
        <v>-5626609526.44145</v>
      </c>
      <c r="Z113" s="68">
        <f t="shared" si="28"/>
        <v>-6067714351.56048</v>
      </c>
    </row>
    <row r="114" ht="15" hidden="1" customHeight="1" spans="1:26">
      <c r="A114" s="67" t="s">
        <v>466</v>
      </c>
      <c r="B114" s="68">
        <f>B112</f>
        <v>-400000000</v>
      </c>
      <c r="C114" s="68">
        <f t="shared" ref="C114:Z114" si="29">B114+C112</f>
        <v>-692559897.952</v>
      </c>
      <c r="D114" s="68">
        <f t="shared" si="29"/>
        <v>-968223704.0608</v>
      </c>
      <c r="E114" s="68">
        <f t="shared" si="29"/>
        <v>-1231165890.04123</v>
      </c>
      <c r="F114" s="68">
        <f t="shared" si="29"/>
        <v>-1484900176.71409</v>
      </c>
      <c r="G114" s="68">
        <f t="shared" si="29"/>
        <v>-1732405721.48826</v>
      </c>
      <c r="H114" s="68">
        <f t="shared" si="29"/>
        <v>-1976231172.28169</v>
      </c>
      <c r="I114" s="68">
        <f t="shared" si="29"/>
        <v>-2218580618.33722</v>
      </c>
      <c r="J114" s="68">
        <f t="shared" si="29"/>
        <v>-2461384746.62004</v>
      </c>
      <c r="K114" s="68">
        <f t="shared" si="29"/>
        <v>-2706359920.93064</v>
      </c>
      <c r="L114" s="68">
        <f t="shared" si="29"/>
        <v>-2955057416.11351</v>
      </c>
      <c r="M114" s="68">
        <f t="shared" si="29"/>
        <v>-3208904642.59149</v>
      </c>
      <c r="N114" s="68">
        <f t="shared" si="29"/>
        <v>-3469239871.16571</v>
      </c>
      <c r="O114" s="68">
        <f t="shared" si="29"/>
        <v>-3737341701.68783</v>
      </c>
      <c r="P114" s="68">
        <f t="shared" si="29"/>
        <v>-4014454301.25452</v>
      </c>
      <c r="Q114" s="68">
        <f t="shared" si="29"/>
        <v>-4301809259.32084</v>
      </c>
      <c r="R114" s="68">
        <f t="shared" si="29"/>
        <v>-4600644761.4706</v>
      </c>
      <c r="S114" s="68">
        <f t="shared" si="29"/>
        <v>-4912222664.6916</v>
      </c>
      <c r="T114" s="68">
        <f t="shared" si="29"/>
        <v>-5237843960.10768</v>
      </c>
      <c r="U114" s="68">
        <f t="shared" si="29"/>
        <v>-5578863030.30571</v>
      </c>
      <c r="V114" s="68">
        <f t="shared" si="29"/>
        <v>-5936701044.46149</v>
      </c>
      <c r="W114" s="68">
        <f t="shared" si="29"/>
        <v>-6312858782.79009</v>
      </c>
      <c r="X114" s="68">
        <f t="shared" si="29"/>
        <v>-6708929140.27808</v>
      </c>
      <c r="Y114" s="68">
        <f t="shared" si="29"/>
        <v>-7126609526.44145</v>
      </c>
      <c r="Z114" s="68">
        <f t="shared" si="29"/>
        <v>-7567714351.56048</v>
      </c>
    </row>
    <row r="115" ht="15" hidden="1" customHeight="1"/>
    <row r="116" ht="15" hidden="1" customHeight="1" spans="1:26">
      <c r="A116" s="67" t="s">
        <v>467</v>
      </c>
      <c r="C116" s="69">
        <f>$D$84*(1+$E$84)^0</f>
        <v>300</v>
      </c>
      <c r="D116" s="69">
        <f>$D$84*(1+$E$84)^1</f>
        <v>324</v>
      </c>
      <c r="E116" s="69">
        <f>$D$84*(1+$E$84)^2</f>
        <v>349.92</v>
      </c>
      <c r="F116" s="69">
        <f>$D$84*(1+$E$84)^3</f>
        <v>377.9136</v>
      </c>
      <c r="G116" s="69">
        <f>$D$84*(1+$E$84)^4</f>
        <v>408.146688</v>
      </c>
      <c r="H116" s="69">
        <f>$D$84*(1+$E$84)^5</f>
        <v>440.79842304</v>
      </c>
      <c r="I116" s="69">
        <f>$D$84*(1+$E$84)^6</f>
        <v>476.0622968832</v>
      </c>
      <c r="J116" s="69">
        <f>$D$84*(1+$E$84)^7</f>
        <v>514.147280633856</v>
      </c>
      <c r="K116" s="69">
        <f>$D$84*(1+$E$84)^8</f>
        <v>555.279063084565</v>
      </c>
      <c r="L116" s="69">
        <f>$D$84*(1+$E$84)^9</f>
        <v>599.70138813133</v>
      </c>
      <c r="M116" s="69">
        <f>$D$84*(1+$E$84)^10</f>
        <v>647.677499181836</v>
      </c>
      <c r="N116" s="69">
        <f>$D$84*(1+$E$84)^11</f>
        <v>699.491699116383</v>
      </c>
      <c r="O116" s="69">
        <f>$D$84*(1+$E$84)^12</f>
        <v>755.451035045694</v>
      </c>
      <c r="P116" s="69">
        <f>$D$84*(1+$E$84)^13</f>
        <v>815.88711784935</v>
      </c>
      <c r="Q116" s="69">
        <f>$D$84*(1+$E$84)^14</f>
        <v>881.158087277298</v>
      </c>
      <c r="R116" s="69">
        <f>$D$84*(1+$E$84)^15</f>
        <v>951.650734259482</v>
      </c>
      <c r="S116" s="69">
        <f>$D$84*(1+$E$84)^16</f>
        <v>1027.78279300024</v>
      </c>
      <c r="T116" s="69">
        <f>$D$84*(1+$E$84)^17</f>
        <v>1110.00541644026</v>
      </c>
      <c r="U116" s="69">
        <f>$D$84*(1+$E$84)^18</f>
        <v>1198.80584975548</v>
      </c>
      <c r="V116" s="69">
        <f>$D$84*(1+$E$84)^19</f>
        <v>1294.71031773592</v>
      </c>
      <c r="W116" s="69">
        <f>$D$84*(1+$E$84)^20</f>
        <v>1398.28714315479</v>
      </c>
      <c r="X116" s="69">
        <f>$D$84*(1+$E$84)^21</f>
        <v>1510.15011460718</v>
      </c>
      <c r="Y116" s="69">
        <f>$D$84*(1+$E$84)^22</f>
        <v>1630.96212377575</v>
      </c>
      <c r="Z116" s="69">
        <f>$D$84*(1+$E$84)^23</f>
        <v>1761.43909367781</v>
      </c>
    </row>
    <row r="117" ht="15" hidden="1" customHeight="1" spans="1:26">
      <c r="A117" s="67" t="s">
        <v>468</v>
      </c>
      <c r="B117" s="67">
        <v>0</v>
      </c>
      <c r="C117" s="69">
        <f t="shared" ref="C117:Z117" si="30">B117*(1-$F$84)+C116</f>
        <v>300</v>
      </c>
      <c r="D117" s="69">
        <f t="shared" si="30"/>
        <v>579</v>
      </c>
      <c r="E117" s="69">
        <f t="shared" si="30"/>
        <v>842.07</v>
      </c>
      <c r="F117" s="69">
        <f t="shared" si="30"/>
        <v>1093.6731</v>
      </c>
      <c r="G117" s="69">
        <f t="shared" si="30"/>
        <v>1337.768823</v>
      </c>
      <c r="H117" s="69">
        <f t="shared" si="30"/>
        <v>1577.90192259</v>
      </c>
      <c r="I117" s="69">
        <f t="shared" si="30"/>
        <v>1817.2789310847</v>
      </c>
      <c r="J117" s="69">
        <f t="shared" si="30"/>
        <v>2058.83437205585</v>
      </c>
      <c r="K117" s="69">
        <f t="shared" si="30"/>
        <v>2305.28827933204</v>
      </c>
      <c r="L117" s="69">
        <f t="shared" si="30"/>
        <v>2559.19642556356</v>
      </c>
      <c r="M117" s="69">
        <f t="shared" si="30"/>
        <v>2822.99446091086</v>
      </c>
      <c r="N117" s="69">
        <f t="shared" si="30"/>
        <v>3099.03699089062</v>
      </c>
      <c r="O117" s="69">
        <f t="shared" si="30"/>
        <v>3389.63247730272</v>
      </c>
      <c r="P117" s="69">
        <f t="shared" si="30"/>
        <v>3697.07472355666</v>
      </c>
      <c r="Q117" s="69">
        <f t="shared" si="30"/>
        <v>4023.67160230046</v>
      </c>
      <c r="R117" s="69">
        <f t="shared" si="30"/>
        <v>4371.77159621487</v>
      </c>
      <c r="S117" s="69">
        <f t="shared" si="30"/>
        <v>4743.78864978288</v>
      </c>
      <c r="T117" s="69">
        <f t="shared" si="30"/>
        <v>5142.22576875571</v>
      </c>
      <c r="U117" s="69">
        <f t="shared" si="30"/>
        <v>5569.69775319783</v>
      </c>
      <c r="V117" s="69">
        <f t="shared" si="30"/>
        <v>6028.95340795408</v>
      </c>
      <c r="W117" s="69">
        <f t="shared" si="30"/>
        <v>6522.89753991576</v>
      </c>
      <c r="X117" s="69">
        <f t="shared" si="30"/>
        <v>7054.61302353557</v>
      </c>
      <c r="Y117" s="69">
        <f t="shared" si="30"/>
        <v>7627.38319378098</v>
      </c>
      <c r="Z117" s="69">
        <f t="shared" si="30"/>
        <v>8244.71480839165</v>
      </c>
    </row>
    <row r="118" ht="15" hidden="1" customHeight="1" spans="1:26">
      <c r="A118" s="67" t="s">
        <v>469</v>
      </c>
      <c r="B118" s="68">
        <f>-$I$84</f>
        <v>-400000000</v>
      </c>
      <c r="C118" s="68">
        <f t="shared" ref="C118:Z118" si="31">C117*($B$84-$C$84)-C116*$G$84-$H$84</f>
        <v>-334559897.952</v>
      </c>
      <c r="D118" s="68">
        <f t="shared" si="31"/>
        <v>-319900603.04736</v>
      </c>
      <c r="E118" s="68">
        <f t="shared" si="31"/>
        <v>-308842177.561469</v>
      </c>
      <c r="F118" s="68">
        <f t="shared" si="31"/>
        <v>-300956649.096158</v>
      </c>
      <c r="G118" s="68">
        <f t="shared" si="31"/>
        <v>-295889213.754157</v>
      </c>
      <c r="H118" s="68">
        <f t="shared" si="31"/>
        <v>-293347978.67525</v>
      </c>
      <c r="I118" s="68">
        <f t="shared" si="31"/>
        <v>-293095300.616916</v>
      </c>
      <c r="J118" s="68">
        <f t="shared" si="31"/>
        <v>-294940485.766769</v>
      </c>
      <c r="K118" s="68">
        <f t="shared" si="31"/>
        <v>-298733651.563535</v>
      </c>
      <c r="L118" s="68">
        <f t="shared" si="31"/>
        <v>-304360581.583728</v>
      </c>
      <c r="M118" s="68">
        <f t="shared" si="31"/>
        <v>-311738430.321271</v>
      </c>
      <c r="N118" s="68">
        <f t="shared" si="31"/>
        <v>-320812156.62619</v>
      </c>
      <c r="O118" s="68">
        <f t="shared" si="31"/>
        <v>-331551583.25362</v>
      </c>
      <c r="P118" s="68">
        <f t="shared" si="31"/>
        <v>-343948995.896644</v>
      </c>
      <c r="Q118" s="68">
        <f t="shared" si="31"/>
        <v>-358017208.6537</v>
      </c>
      <c r="R118" s="68">
        <f t="shared" si="31"/>
        <v>-373788034.468522</v>
      </c>
      <c r="S118" s="68">
        <f t="shared" si="31"/>
        <v>-391311108.980151</v>
      </c>
      <c r="T118" s="68">
        <f t="shared" si="31"/>
        <v>-410653024.689588</v>
      </c>
      <c r="U118" s="68">
        <f t="shared" si="31"/>
        <v>-431896739.607126</v>
      </c>
      <c r="V118" s="68">
        <f t="shared" si="31"/>
        <v>-455141230.776712</v>
      </c>
      <c r="W118" s="68">
        <f t="shared" si="31"/>
        <v>-480501368.439712</v>
      </c>
      <c r="X118" s="68">
        <f t="shared" si="31"/>
        <v>-508107991.235623</v>
      </c>
      <c r="Y118" s="68">
        <f t="shared" si="31"/>
        <v>-538108166.857096</v>
      </c>
      <c r="Z118" s="68">
        <f t="shared" si="31"/>
        <v>-570665626.079894</v>
      </c>
    </row>
    <row r="119" ht="15" hidden="1" customHeight="1" spans="1:26">
      <c r="A119" s="67" t="s">
        <v>470</v>
      </c>
      <c r="B119" s="68">
        <f>$J$84+B118</f>
        <v>1100000000</v>
      </c>
      <c r="C119" s="68">
        <f t="shared" ref="C119:Z119" si="32">B119+C118</f>
        <v>765440102.048</v>
      </c>
      <c r="D119" s="68">
        <f t="shared" si="32"/>
        <v>445539499.00064</v>
      </c>
      <c r="E119" s="68">
        <f t="shared" si="32"/>
        <v>136697321.439171</v>
      </c>
      <c r="F119" s="68">
        <f t="shared" si="32"/>
        <v>-164259327.656987</v>
      </c>
      <c r="G119" s="68">
        <f t="shared" si="32"/>
        <v>-460148541.411144</v>
      </c>
      <c r="H119" s="68">
        <f t="shared" si="32"/>
        <v>-753496520.086395</v>
      </c>
      <c r="I119" s="68">
        <f t="shared" si="32"/>
        <v>-1046591820.70331</v>
      </c>
      <c r="J119" s="68">
        <f t="shared" si="32"/>
        <v>-1341532306.47008</v>
      </c>
      <c r="K119" s="68">
        <f t="shared" si="32"/>
        <v>-1640265958.03361</v>
      </c>
      <c r="L119" s="68">
        <f t="shared" si="32"/>
        <v>-1944626539.61734</v>
      </c>
      <c r="M119" s="68">
        <f t="shared" si="32"/>
        <v>-2256364969.93861</v>
      </c>
      <c r="N119" s="68">
        <f t="shared" si="32"/>
        <v>-2577177126.5648</v>
      </c>
      <c r="O119" s="68">
        <f t="shared" si="32"/>
        <v>-2908728709.81842</v>
      </c>
      <c r="P119" s="68">
        <f t="shared" si="32"/>
        <v>-3252677705.71507</v>
      </c>
      <c r="Q119" s="68">
        <f t="shared" si="32"/>
        <v>-3610694914.36877</v>
      </c>
      <c r="R119" s="68">
        <f t="shared" si="32"/>
        <v>-3984482948.83729</v>
      </c>
      <c r="S119" s="68">
        <f t="shared" si="32"/>
        <v>-4375794057.81744</v>
      </c>
      <c r="T119" s="68">
        <f t="shared" si="32"/>
        <v>-4786447082.50703</v>
      </c>
      <c r="U119" s="68">
        <f t="shared" si="32"/>
        <v>-5218343822.11416</v>
      </c>
      <c r="V119" s="68">
        <f t="shared" si="32"/>
        <v>-5673485052.89087</v>
      </c>
      <c r="W119" s="68">
        <f t="shared" si="32"/>
        <v>-6153986421.33058</v>
      </c>
      <c r="X119" s="68">
        <f t="shared" si="32"/>
        <v>-6662094412.5662</v>
      </c>
      <c r="Y119" s="68">
        <f t="shared" si="32"/>
        <v>-7200202579.4233</v>
      </c>
      <c r="Z119" s="68">
        <f t="shared" si="32"/>
        <v>-7770868205.50319</v>
      </c>
    </row>
    <row r="120" ht="15" hidden="1" customHeight="1" spans="1:26">
      <c r="A120" s="67" t="s">
        <v>471</v>
      </c>
      <c r="B120" s="68">
        <f>B118</f>
        <v>-400000000</v>
      </c>
      <c r="C120" s="68">
        <f t="shared" ref="C120:Z120" si="33">B120+C118</f>
        <v>-734559897.952</v>
      </c>
      <c r="D120" s="68">
        <f t="shared" si="33"/>
        <v>-1054460500.99936</v>
      </c>
      <c r="E120" s="68">
        <f t="shared" si="33"/>
        <v>-1363302678.56083</v>
      </c>
      <c r="F120" s="68">
        <f t="shared" si="33"/>
        <v>-1664259327.65699</v>
      </c>
      <c r="G120" s="68">
        <f t="shared" si="33"/>
        <v>-1960148541.41114</v>
      </c>
      <c r="H120" s="68">
        <f t="shared" si="33"/>
        <v>-2253496520.08639</v>
      </c>
      <c r="I120" s="68">
        <f t="shared" si="33"/>
        <v>-2546591820.70331</v>
      </c>
      <c r="J120" s="68">
        <f t="shared" si="33"/>
        <v>-2841532306.47008</v>
      </c>
      <c r="K120" s="68">
        <f t="shared" si="33"/>
        <v>-3140265958.03361</v>
      </c>
      <c r="L120" s="68">
        <f t="shared" si="33"/>
        <v>-3444626539.61734</v>
      </c>
      <c r="M120" s="68">
        <f t="shared" si="33"/>
        <v>-3756364969.93861</v>
      </c>
      <c r="N120" s="68">
        <f t="shared" si="33"/>
        <v>-4077177126.5648</v>
      </c>
      <c r="O120" s="68">
        <f t="shared" si="33"/>
        <v>-4408728709.81842</v>
      </c>
      <c r="P120" s="68">
        <f t="shared" si="33"/>
        <v>-4752677705.71507</v>
      </c>
      <c r="Q120" s="68">
        <f t="shared" si="33"/>
        <v>-5110694914.36877</v>
      </c>
      <c r="R120" s="68">
        <f t="shared" si="33"/>
        <v>-5484482948.83729</v>
      </c>
      <c r="S120" s="68">
        <f t="shared" si="33"/>
        <v>-5875794057.81744</v>
      </c>
      <c r="T120" s="68">
        <f t="shared" si="33"/>
        <v>-6286447082.50703</v>
      </c>
      <c r="U120" s="68">
        <f t="shared" si="33"/>
        <v>-6718343822.11416</v>
      </c>
      <c r="V120" s="68">
        <f t="shared" si="33"/>
        <v>-7173485052.89087</v>
      </c>
      <c r="W120" s="68">
        <f t="shared" si="33"/>
        <v>-7653986421.33058</v>
      </c>
      <c r="X120" s="68">
        <f t="shared" si="33"/>
        <v>-8162094412.5662</v>
      </c>
      <c r="Y120" s="68">
        <f t="shared" si="33"/>
        <v>-8700202579.4233</v>
      </c>
      <c r="Z120" s="68">
        <f t="shared" si="33"/>
        <v>-9270868205.50319</v>
      </c>
    </row>
    <row r="121" ht="15" hidden="1" customHeight="1"/>
    <row r="122" ht="15" hidden="1" customHeight="1" spans="1:26">
      <c r="A122" s="67" t="s">
        <v>472</v>
      </c>
      <c r="C122" s="69">
        <f>$D$85*(1+$E$85)^0</f>
        <v>240</v>
      </c>
      <c r="D122" s="69">
        <f>$D$85*(1+$E$85)^1</f>
        <v>259.2</v>
      </c>
      <c r="E122" s="69">
        <f>$D$85*(1+$E$85)^2</f>
        <v>279.936</v>
      </c>
      <c r="F122" s="69">
        <f>$D$85*(1+$E$85)^3</f>
        <v>302.33088</v>
      </c>
      <c r="G122" s="69">
        <f>$D$85*(1+$E$85)^4</f>
        <v>326.5173504</v>
      </c>
      <c r="H122" s="69">
        <f>$D$85*(1+$E$85)^5</f>
        <v>352.638738432</v>
      </c>
      <c r="I122" s="69">
        <f>$D$85*(1+$E$85)^6</f>
        <v>380.84983750656</v>
      </c>
      <c r="J122" s="69">
        <f>$D$85*(1+$E$85)^7</f>
        <v>411.317824507085</v>
      </c>
      <c r="K122" s="69">
        <f>$D$85*(1+$E$85)^8</f>
        <v>444.223250467652</v>
      </c>
      <c r="L122" s="69">
        <f>$D$85*(1+$E$85)^9</f>
        <v>479.761110505064</v>
      </c>
      <c r="M122" s="69">
        <f>$D$85*(1+$E$85)^10</f>
        <v>518.141999345469</v>
      </c>
      <c r="N122" s="69">
        <f>$D$85*(1+$E$85)^11</f>
        <v>559.593359293107</v>
      </c>
      <c r="O122" s="69">
        <f>$D$85*(1+$E$85)^12</f>
        <v>604.360828036555</v>
      </c>
      <c r="P122" s="69">
        <f>$D$85*(1+$E$85)^13</f>
        <v>652.70969427948</v>
      </c>
      <c r="Q122" s="69">
        <f>$D$85*(1+$E$85)^14</f>
        <v>704.926469821838</v>
      </c>
      <c r="R122" s="69">
        <f>$D$85*(1+$E$85)^15</f>
        <v>761.320587407585</v>
      </c>
      <c r="S122" s="69">
        <f>$D$85*(1+$E$85)^16</f>
        <v>822.226234400192</v>
      </c>
      <c r="T122" s="69">
        <f>$D$85*(1+$E$85)^17</f>
        <v>888.004333152208</v>
      </c>
      <c r="U122" s="69">
        <f>$D$85*(1+$E$85)^18</f>
        <v>959.044679804384</v>
      </c>
      <c r="V122" s="69">
        <f>$D$85*(1+$E$85)^19</f>
        <v>1035.76825418873</v>
      </c>
      <c r="W122" s="69">
        <f>$D$85*(1+$E$85)^20</f>
        <v>1118.62971452383</v>
      </c>
      <c r="X122" s="69">
        <f>$D$85*(1+$E$85)^21</f>
        <v>1208.12009168574</v>
      </c>
      <c r="Y122" s="69">
        <f>$D$85*(1+$E$85)^22</f>
        <v>1304.7696990206</v>
      </c>
      <c r="Z122" s="69">
        <f>$D$85*(1+$E$85)^23</f>
        <v>1409.15127494225</v>
      </c>
    </row>
    <row r="123" ht="15" hidden="1" customHeight="1" spans="1:26">
      <c r="A123" s="67" t="s">
        <v>473</v>
      </c>
      <c r="B123" s="67">
        <v>0</v>
      </c>
      <c r="C123" s="69">
        <f t="shared" ref="C123:Z123" si="34">B123*(1-$F$85)+C122</f>
        <v>240</v>
      </c>
      <c r="D123" s="69">
        <f t="shared" si="34"/>
        <v>463.2</v>
      </c>
      <c r="E123" s="69">
        <f t="shared" si="34"/>
        <v>673.656</v>
      </c>
      <c r="F123" s="69">
        <f t="shared" si="34"/>
        <v>874.93848</v>
      </c>
      <c r="G123" s="69">
        <f t="shared" si="34"/>
        <v>1070.2150584</v>
      </c>
      <c r="H123" s="69">
        <f t="shared" si="34"/>
        <v>1262.321538072</v>
      </c>
      <c r="I123" s="69">
        <f t="shared" si="34"/>
        <v>1453.82314486776</v>
      </c>
      <c r="J123" s="69">
        <f t="shared" si="34"/>
        <v>1647.06749764468</v>
      </c>
      <c r="K123" s="69">
        <f t="shared" si="34"/>
        <v>1844.23062346563</v>
      </c>
      <c r="L123" s="69">
        <f t="shared" si="34"/>
        <v>2047.35714045085</v>
      </c>
      <c r="M123" s="69">
        <f t="shared" si="34"/>
        <v>2258.39556872869</v>
      </c>
      <c r="N123" s="69">
        <f t="shared" si="34"/>
        <v>2479.22959271249</v>
      </c>
      <c r="O123" s="69">
        <f t="shared" si="34"/>
        <v>2711.70598184218</v>
      </c>
      <c r="P123" s="69">
        <f t="shared" si="34"/>
        <v>2957.65977884533</v>
      </c>
      <c r="Q123" s="69">
        <f t="shared" si="34"/>
        <v>3218.93728184037</v>
      </c>
      <c r="R123" s="69">
        <f t="shared" si="34"/>
        <v>3497.4172769719</v>
      </c>
      <c r="S123" s="69">
        <f t="shared" si="34"/>
        <v>3795.0309198263</v>
      </c>
      <c r="T123" s="69">
        <f t="shared" si="34"/>
        <v>4113.78061500457</v>
      </c>
      <c r="U123" s="69">
        <f t="shared" si="34"/>
        <v>4455.75820255827</v>
      </c>
      <c r="V123" s="69">
        <f t="shared" si="34"/>
        <v>4823.16272636326</v>
      </c>
      <c r="W123" s="69">
        <f t="shared" si="34"/>
        <v>5218.31803193261</v>
      </c>
      <c r="X123" s="69">
        <f t="shared" si="34"/>
        <v>5643.69041882846</v>
      </c>
      <c r="Y123" s="69">
        <f t="shared" si="34"/>
        <v>6101.90655502479</v>
      </c>
      <c r="Z123" s="69">
        <f t="shared" si="34"/>
        <v>6595.77184671332</v>
      </c>
    </row>
    <row r="124" ht="15" hidden="1" customHeight="1" spans="1:26">
      <c r="A124" s="67" t="s">
        <v>474</v>
      </c>
      <c r="B124" s="68">
        <f>-$I$85</f>
        <v>-400000000</v>
      </c>
      <c r="C124" s="68">
        <f t="shared" ref="C124:Z124" si="35">C123*($B$85-$C$85)-C122*$G$85-$H$85</f>
        <v>-258047918.3616</v>
      </c>
      <c r="D124" s="68">
        <f t="shared" si="35"/>
        <v>-243632482.437888</v>
      </c>
      <c r="E124" s="68">
        <f t="shared" si="35"/>
        <v>-231882702.049175</v>
      </c>
      <c r="F124" s="68">
        <f t="shared" si="35"/>
        <v>-222438996.076927</v>
      </c>
      <c r="G124" s="68">
        <f t="shared" si="35"/>
        <v>-214998941.947326</v>
      </c>
      <c r="H124" s="68">
        <f t="shared" si="35"/>
        <v>-209308959.55972</v>
      </c>
      <c r="I124" s="68">
        <f t="shared" si="35"/>
        <v>-205157263.242615</v>
      </c>
      <c r="J124" s="68">
        <f t="shared" si="35"/>
        <v>-202367893.182423</v>
      </c>
      <c r="K124" s="68">
        <f t="shared" si="35"/>
        <v>-200795666.185357</v>
      </c>
      <c r="L124" s="68">
        <f t="shared" si="35"/>
        <v>-200321909.796274</v>
      </c>
      <c r="M124" s="68">
        <f t="shared" si="35"/>
        <v>-200850864.348651</v>
      </c>
      <c r="N124" s="68">
        <f t="shared" si="35"/>
        <v>-202306654.999917</v>
      </c>
      <c r="O124" s="68">
        <f t="shared" si="35"/>
        <v>-204630750.677778</v>
      </c>
      <c r="P124" s="68">
        <f t="shared" si="35"/>
        <v>-207779839.518188</v>
      </c>
      <c r="Q124" s="68">
        <f t="shared" si="35"/>
        <v>-211724061.147903</v>
      </c>
      <c r="R124" s="68">
        <f t="shared" si="35"/>
        <v>-216445545.337756</v>
      </c>
      <c r="S124" s="68">
        <f t="shared" si="35"/>
        <v>-221937214.368094</v>
      </c>
      <c r="T124" s="68">
        <f t="shared" si="35"/>
        <v>-228201813.110361</v>
      </c>
      <c r="U124" s="68">
        <f t="shared" si="35"/>
        <v>-235251136.513087</v>
      </c>
      <c r="V124" s="68">
        <f t="shared" si="35"/>
        <v>-243105429.034947</v>
      </c>
      <c r="W124" s="68">
        <f t="shared" si="35"/>
        <v>-251792934.718433</v>
      </c>
      <c r="X124" s="68">
        <f t="shared" si="35"/>
        <v>-261349580.152495</v>
      </c>
      <c r="Y124" s="68">
        <f t="shared" si="35"/>
        <v>-271818775.622793</v>
      </c>
      <c r="Z124" s="68">
        <f t="shared" si="35"/>
        <v>-283251322.372</v>
      </c>
    </row>
    <row r="125" ht="15" hidden="1" customHeight="1" spans="1:26">
      <c r="A125" s="67" t="s">
        <v>475</v>
      </c>
      <c r="B125" s="68">
        <f>$J$85+B124</f>
        <v>1100000000</v>
      </c>
      <c r="C125" s="68">
        <f t="shared" ref="C125:Z125" si="36">B125+C124</f>
        <v>841952081.6384</v>
      </c>
      <c r="D125" s="68">
        <f t="shared" si="36"/>
        <v>598319599.200512</v>
      </c>
      <c r="E125" s="68">
        <f t="shared" si="36"/>
        <v>366436897.151337</v>
      </c>
      <c r="F125" s="68">
        <f t="shared" si="36"/>
        <v>143997901.07441</v>
      </c>
      <c r="G125" s="68">
        <f t="shared" si="36"/>
        <v>-71001040.8729156</v>
      </c>
      <c r="H125" s="68">
        <f t="shared" si="36"/>
        <v>-280310000.432636</v>
      </c>
      <c r="I125" s="68">
        <f t="shared" si="36"/>
        <v>-485467263.67525</v>
      </c>
      <c r="J125" s="68">
        <f t="shared" si="36"/>
        <v>-687835156.857674</v>
      </c>
      <c r="K125" s="68">
        <f t="shared" si="36"/>
        <v>-888630823.04303</v>
      </c>
      <c r="L125" s="68">
        <f t="shared" si="36"/>
        <v>-1088952732.8393</v>
      </c>
      <c r="M125" s="68">
        <f t="shared" si="36"/>
        <v>-1289803597.18796</v>
      </c>
      <c r="N125" s="68">
        <f t="shared" si="36"/>
        <v>-1492110252.18787</v>
      </c>
      <c r="O125" s="68">
        <f t="shared" si="36"/>
        <v>-1696741002.86565</v>
      </c>
      <c r="P125" s="68">
        <f t="shared" si="36"/>
        <v>-1904520842.38384</v>
      </c>
      <c r="Q125" s="68">
        <f t="shared" si="36"/>
        <v>-2116244903.53174</v>
      </c>
      <c r="R125" s="68">
        <f t="shared" si="36"/>
        <v>-2332690448.8695</v>
      </c>
      <c r="S125" s="68">
        <f t="shared" si="36"/>
        <v>-2554627663.23759</v>
      </c>
      <c r="T125" s="68">
        <f t="shared" si="36"/>
        <v>-2782829476.34795</v>
      </c>
      <c r="U125" s="68">
        <f t="shared" si="36"/>
        <v>-3018080612.86104</v>
      </c>
      <c r="V125" s="68">
        <f t="shared" si="36"/>
        <v>-3261186041.89599</v>
      </c>
      <c r="W125" s="68">
        <f t="shared" si="36"/>
        <v>-3512978976.61442</v>
      </c>
      <c r="X125" s="68">
        <f t="shared" si="36"/>
        <v>-3774328556.76692</v>
      </c>
      <c r="Y125" s="68">
        <f t="shared" si="36"/>
        <v>-4046147332.38971</v>
      </c>
      <c r="Z125" s="68">
        <f t="shared" si="36"/>
        <v>-4329398654.76171</v>
      </c>
    </row>
    <row r="126" ht="15" hidden="1" customHeight="1" spans="1:26">
      <c r="A126" s="67" t="s">
        <v>476</v>
      </c>
      <c r="B126" s="68">
        <f>B124</f>
        <v>-400000000</v>
      </c>
      <c r="C126" s="68">
        <f t="shared" ref="C126:Z126" si="37">B126+C124</f>
        <v>-658047918.3616</v>
      </c>
      <c r="D126" s="68">
        <f t="shared" si="37"/>
        <v>-901680400.799488</v>
      </c>
      <c r="E126" s="68">
        <f t="shared" si="37"/>
        <v>-1133563102.84866</v>
      </c>
      <c r="F126" s="68">
        <f t="shared" si="37"/>
        <v>-1356002098.92559</v>
      </c>
      <c r="G126" s="68">
        <f t="shared" si="37"/>
        <v>-1571001040.87292</v>
      </c>
      <c r="H126" s="68">
        <f t="shared" si="37"/>
        <v>-1780310000.43264</v>
      </c>
      <c r="I126" s="68">
        <f t="shared" si="37"/>
        <v>-1985467263.67525</v>
      </c>
      <c r="J126" s="68">
        <f t="shared" si="37"/>
        <v>-2187835156.85767</v>
      </c>
      <c r="K126" s="68">
        <f t="shared" si="37"/>
        <v>-2388630823.04303</v>
      </c>
      <c r="L126" s="68">
        <f t="shared" si="37"/>
        <v>-2588952732.8393</v>
      </c>
      <c r="M126" s="68">
        <f t="shared" si="37"/>
        <v>-2789803597.18795</v>
      </c>
      <c r="N126" s="68">
        <f t="shared" si="37"/>
        <v>-2992110252.18787</v>
      </c>
      <c r="O126" s="68">
        <f t="shared" si="37"/>
        <v>-3196741002.86565</v>
      </c>
      <c r="P126" s="68">
        <f t="shared" si="37"/>
        <v>-3404520842.38384</v>
      </c>
      <c r="Q126" s="68">
        <f t="shared" si="37"/>
        <v>-3616244903.53174</v>
      </c>
      <c r="R126" s="68">
        <f t="shared" si="37"/>
        <v>-3832690448.8695</v>
      </c>
      <c r="S126" s="68">
        <f t="shared" si="37"/>
        <v>-4054627663.23759</v>
      </c>
      <c r="T126" s="68">
        <f t="shared" si="37"/>
        <v>-4282829476.34795</v>
      </c>
      <c r="U126" s="68">
        <f t="shared" si="37"/>
        <v>-4518080612.86104</v>
      </c>
      <c r="V126" s="68">
        <f t="shared" si="37"/>
        <v>-4761186041.89599</v>
      </c>
      <c r="W126" s="68">
        <f t="shared" si="37"/>
        <v>-5012978976.61442</v>
      </c>
      <c r="X126" s="68">
        <f t="shared" si="37"/>
        <v>-5274328556.76691</v>
      </c>
      <c r="Y126" s="68">
        <f t="shared" si="37"/>
        <v>-5546147332.38971</v>
      </c>
      <c r="Z126" s="68">
        <f t="shared" si="37"/>
        <v>-5829398654.76171</v>
      </c>
    </row>
    <row r="127" ht="15" hidden="1" customHeight="1"/>
    <row r="128" ht="15" hidden="1" customHeight="1" spans="1:26">
      <c r="A128" s="67" t="s">
        <v>477</v>
      </c>
      <c r="C128" s="69">
        <f>$D$86*(1+$E$86)^0</f>
        <v>300</v>
      </c>
      <c r="D128" s="69">
        <f>$D$86*(1+$E$86)^1</f>
        <v>319.2</v>
      </c>
      <c r="E128" s="69">
        <f>$D$86*(1+$E$86)^2</f>
        <v>339.6288</v>
      </c>
      <c r="F128" s="69">
        <f>$D$86*(1+$E$86)^3</f>
        <v>361.3650432</v>
      </c>
      <c r="G128" s="69">
        <f>$D$86*(1+$E$86)^4</f>
        <v>384.4924059648</v>
      </c>
      <c r="H128" s="69">
        <f>$D$86*(1+$E$86)^5</f>
        <v>409.099919946547</v>
      </c>
      <c r="I128" s="69">
        <f>$D$86*(1+$E$86)^6</f>
        <v>435.282314823126</v>
      </c>
      <c r="J128" s="69">
        <f>$D$86*(1+$E$86)^7</f>
        <v>463.140382971807</v>
      </c>
      <c r="K128" s="69">
        <f>$D$86*(1+$E$86)^8</f>
        <v>492.781367482002</v>
      </c>
      <c r="L128" s="69">
        <f>$D$86*(1+$E$86)^9</f>
        <v>524.31937500085</v>
      </c>
      <c r="M128" s="69">
        <f>$D$86*(1+$E$86)^10</f>
        <v>557.875815000905</v>
      </c>
      <c r="N128" s="69">
        <f>$D$86*(1+$E$86)^11</f>
        <v>593.579867160963</v>
      </c>
      <c r="O128" s="69">
        <f>$D$86*(1+$E$86)^12</f>
        <v>631.568978659264</v>
      </c>
      <c r="P128" s="69">
        <f>$D$86*(1+$E$86)^13</f>
        <v>671.989393293457</v>
      </c>
      <c r="Q128" s="69">
        <f>$D$86*(1+$E$86)^14</f>
        <v>714.996714464238</v>
      </c>
      <c r="R128" s="69">
        <f>$D$86*(1+$E$86)^15</f>
        <v>760.75650418995</v>
      </c>
      <c r="S128" s="69">
        <f>$D$86*(1+$E$86)^16</f>
        <v>809.444920458107</v>
      </c>
      <c r="T128" s="69">
        <f>$D$86*(1+$E$86)^17</f>
        <v>861.249395367426</v>
      </c>
      <c r="U128" s="69">
        <f>$D$86*(1+$E$86)^18</f>
        <v>916.369356670941</v>
      </c>
      <c r="V128" s="69">
        <f>$D$86*(1+$E$86)^19</f>
        <v>975.016995497881</v>
      </c>
      <c r="W128" s="69">
        <f>$D$86*(1+$E$86)^20</f>
        <v>1037.41808320975</v>
      </c>
      <c r="X128" s="69">
        <f>$D$86*(1+$E$86)^21</f>
        <v>1103.81284053517</v>
      </c>
      <c r="Y128" s="69">
        <f>$D$86*(1+$E$86)^22</f>
        <v>1174.45686232942</v>
      </c>
      <c r="Z128" s="69">
        <f>$D$86*(1+$E$86)^23</f>
        <v>1249.6221015185</v>
      </c>
    </row>
    <row r="129" ht="15" hidden="1" customHeight="1" spans="1:26">
      <c r="A129" s="67" t="s">
        <v>478</v>
      </c>
      <c r="B129" s="67">
        <v>0</v>
      </c>
      <c r="C129" s="69">
        <f t="shared" ref="C129:Z129" si="38">B129*(1-$F$86)+C128</f>
        <v>300</v>
      </c>
      <c r="D129" s="69">
        <f t="shared" si="38"/>
        <v>574.2</v>
      </c>
      <c r="E129" s="69">
        <f t="shared" si="38"/>
        <v>827.6988</v>
      </c>
      <c r="F129" s="69">
        <f t="shared" si="38"/>
        <v>1064.9090232</v>
      </c>
      <c r="G129" s="69">
        <f t="shared" si="38"/>
        <v>1289.6650756848</v>
      </c>
      <c r="H129" s="69">
        <f t="shared" si="38"/>
        <v>1505.31523427863</v>
      </c>
      <c r="I129" s="69">
        <f t="shared" si="38"/>
        <v>1714.80026395996</v>
      </c>
      <c r="J129" s="69">
        <f t="shared" si="38"/>
        <v>1920.72060733777</v>
      </c>
      <c r="K129" s="69">
        <f t="shared" si="38"/>
        <v>2125.39388371911</v>
      </c>
      <c r="L129" s="69">
        <f t="shared" si="38"/>
        <v>2330.90417616209</v>
      </c>
      <c r="M129" s="69">
        <f t="shared" si="38"/>
        <v>2539.14436473868</v>
      </c>
      <c r="N129" s="69">
        <f t="shared" si="38"/>
        <v>2751.85257718884</v>
      </c>
      <c r="O129" s="69">
        <f t="shared" si="38"/>
        <v>2970.64366926978</v>
      </c>
      <c r="P129" s="69">
        <f t="shared" si="38"/>
        <v>3197.03651217277</v>
      </c>
      <c r="Q129" s="69">
        <f t="shared" si="38"/>
        <v>3432.47774981109</v>
      </c>
      <c r="R129" s="69">
        <f t="shared" si="38"/>
        <v>3678.36259152938</v>
      </c>
      <c r="S129" s="69">
        <f t="shared" si="38"/>
        <v>3936.05312325808</v>
      </c>
      <c r="T129" s="69">
        <f t="shared" si="38"/>
        <v>4206.89455013679</v>
      </c>
      <c r="U129" s="69">
        <f t="shared" si="38"/>
        <v>4492.22972428722</v>
      </c>
      <c r="V129" s="69">
        <f t="shared" si="38"/>
        <v>4793.41226114201</v>
      </c>
      <c r="W129" s="69">
        <f t="shared" si="38"/>
        <v>5111.81850518046</v>
      </c>
      <c r="X129" s="69">
        <f t="shared" si="38"/>
        <v>5448.85856993856</v>
      </c>
      <c r="Y129" s="69">
        <f t="shared" si="38"/>
        <v>5805.98664677719</v>
      </c>
      <c r="Z129" s="69">
        <f t="shared" si="38"/>
        <v>6184.71075127912</v>
      </c>
    </row>
    <row r="130" ht="15" hidden="1" customHeight="1" spans="1:26">
      <c r="A130" s="67" t="s">
        <v>479</v>
      </c>
      <c r="B130" s="68">
        <f>-$I$86</f>
        <v>-400000000</v>
      </c>
      <c r="C130" s="68">
        <f t="shared" ref="C130:Z130" si="39">C129*($B$86-$C$86)-C128*$G$86-$H$86</f>
        <v>-292559897.952</v>
      </c>
      <c r="D130" s="68">
        <f t="shared" si="39"/>
        <v>-271779644.680128</v>
      </c>
      <c r="E130" s="68">
        <f t="shared" si="39"/>
        <v>-254443068.209976</v>
      </c>
      <c r="F130" s="68">
        <f t="shared" si="39"/>
        <v>-240054521.905187</v>
      </c>
      <c r="G130" s="68">
        <f t="shared" si="39"/>
        <v>-228194044.037425</v>
      </c>
      <c r="H130" s="68">
        <f t="shared" si="39"/>
        <v>-218506090.67658</v>
      </c>
      <c r="I130" s="68">
        <f t="shared" si="39"/>
        <v>-210689964.127528</v>
      </c>
      <c r="J130" s="68">
        <f t="shared" si="39"/>
        <v>-204491682.932189</v>
      </c>
      <c r="K130" s="68">
        <f t="shared" si="39"/>
        <v>-199697077.575273</v>
      </c>
      <c r="L130" s="68">
        <f t="shared" si="39"/>
        <v>-196125928.435202</v>
      </c>
      <c r="M130" s="68">
        <f t="shared" si="39"/>
        <v>-193626990.065899</v>
      </c>
      <c r="N130" s="68">
        <f t="shared" si="39"/>
        <v>-192073769.309334</v>
      </c>
      <c r="O130" s="68">
        <f t="shared" si="39"/>
        <v>-191360944.642466</v>
      </c>
      <c r="P130" s="68">
        <f t="shared" si="39"/>
        <v>-191401331.082318</v>
      </c>
      <c r="Q130" s="68">
        <f t="shared" si="39"/>
        <v>-192123309.356911</v>
      </c>
      <c r="R130" s="68">
        <f t="shared" si="39"/>
        <v>-193468650.278279</v>
      </c>
      <c r="S130" s="68">
        <f t="shared" si="39"/>
        <v>-195390675.650236</v>
      </c>
      <c r="T130" s="68">
        <f t="shared" si="39"/>
        <v>-197852705.882876</v>
      </c>
      <c r="U130" s="68">
        <f t="shared" si="39"/>
        <v>-200826752.001751</v>
      </c>
      <c r="V130" s="68">
        <f t="shared" si="39"/>
        <v>-204292416.130879</v>
      </c>
      <c r="W130" s="68">
        <f t="shared" si="39"/>
        <v>-208235969.964118</v>
      </c>
      <c r="X130" s="68">
        <f t="shared" si="39"/>
        <v>-212649585.362555</v>
      </c>
      <c r="Y130" s="68">
        <f t="shared" si="39"/>
        <v>-217530695.148383</v>
      </c>
      <c r="Z130" s="68">
        <f t="shared" si="39"/>
        <v>-222881465.512109</v>
      </c>
    </row>
    <row r="131" ht="15" hidden="1" customHeight="1" spans="1:26">
      <c r="A131" s="67" t="s">
        <v>480</v>
      </c>
      <c r="B131" s="68">
        <f>$J$86+B130</f>
        <v>1100000000</v>
      </c>
      <c r="C131" s="68">
        <f t="shared" ref="C131:Z131" si="40">B131+C130</f>
        <v>807440102.048</v>
      </c>
      <c r="D131" s="68">
        <f t="shared" si="40"/>
        <v>535660457.367872</v>
      </c>
      <c r="E131" s="68">
        <f t="shared" si="40"/>
        <v>281217389.157896</v>
      </c>
      <c r="F131" s="68">
        <f t="shared" si="40"/>
        <v>41162867.252709</v>
      </c>
      <c r="G131" s="68">
        <f t="shared" si="40"/>
        <v>-187031176.784716</v>
      </c>
      <c r="H131" s="68">
        <f t="shared" si="40"/>
        <v>-405537267.461296</v>
      </c>
      <c r="I131" s="68">
        <f t="shared" si="40"/>
        <v>-616227231.588824</v>
      </c>
      <c r="J131" s="68">
        <f t="shared" si="40"/>
        <v>-820718914.521013</v>
      </c>
      <c r="K131" s="68">
        <f t="shared" si="40"/>
        <v>-1020415992.09629</v>
      </c>
      <c r="L131" s="68">
        <f t="shared" si="40"/>
        <v>-1216541920.53149</v>
      </c>
      <c r="M131" s="68">
        <f t="shared" si="40"/>
        <v>-1410168910.59739</v>
      </c>
      <c r="N131" s="68">
        <f t="shared" si="40"/>
        <v>-1602242679.90672</v>
      </c>
      <c r="O131" s="68">
        <f t="shared" si="40"/>
        <v>-1793603624.54919</v>
      </c>
      <c r="P131" s="68">
        <f t="shared" si="40"/>
        <v>-1985004955.6315</v>
      </c>
      <c r="Q131" s="68">
        <f t="shared" si="40"/>
        <v>-2177128264.98842</v>
      </c>
      <c r="R131" s="68">
        <f t="shared" si="40"/>
        <v>-2370596915.26669</v>
      </c>
      <c r="S131" s="68">
        <f t="shared" si="40"/>
        <v>-2565987590.91693</v>
      </c>
      <c r="T131" s="68">
        <f t="shared" si="40"/>
        <v>-2763840296.79981</v>
      </c>
      <c r="U131" s="68">
        <f t="shared" si="40"/>
        <v>-2964667048.80156</v>
      </c>
      <c r="V131" s="68">
        <f t="shared" si="40"/>
        <v>-3168959464.93244</v>
      </c>
      <c r="W131" s="68">
        <f t="shared" si="40"/>
        <v>-3377195434.89655</v>
      </c>
      <c r="X131" s="68">
        <f t="shared" si="40"/>
        <v>-3589845020.25911</v>
      </c>
      <c r="Y131" s="68">
        <f t="shared" si="40"/>
        <v>-3807375715.40749</v>
      </c>
      <c r="Z131" s="68">
        <f t="shared" si="40"/>
        <v>-4030257180.9196</v>
      </c>
    </row>
    <row r="132" ht="15" hidden="1" customHeight="1" spans="1:26">
      <c r="A132" s="67" t="s">
        <v>481</v>
      </c>
      <c r="B132" s="68">
        <f>B130</f>
        <v>-400000000</v>
      </c>
      <c r="C132" s="68">
        <f t="shared" ref="C132:Z132" si="41">B132+C130</f>
        <v>-692559897.952</v>
      </c>
      <c r="D132" s="68">
        <f t="shared" si="41"/>
        <v>-964339542.632128</v>
      </c>
      <c r="E132" s="68">
        <f t="shared" si="41"/>
        <v>-1218782610.8421</v>
      </c>
      <c r="F132" s="68">
        <f t="shared" si="41"/>
        <v>-1458837132.74729</v>
      </c>
      <c r="G132" s="68">
        <f t="shared" si="41"/>
        <v>-1687031176.78472</v>
      </c>
      <c r="H132" s="68">
        <f t="shared" si="41"/>
        <v>-1905537267.4613</v>
      </c>
      <c r="I132" s="68">
        <f t="shared" si="41"/>
        <v>-2116227231.58882</v>
      </c>
      <c r="J132" s="68">
        <f t="shared" si="41"/>
        <v>-2320718914.52101</v>
      </c>
      <c r="K132" s="68">
        <f t="shared" si="41"/>
        <v>-2520415992.09629</v>
      </c>
      <c r="L132" s="68">
        <f t="shared" si="41"/>
        <v>-2716541920.53149</v>
      </c>
      <c r="M132" s="68">
        <f t="shared" si="41"/>
        <v>-2910168910.59739</v>
      </c>
      <c r="N132" s="68">
        <f t="shared" si="41"/>
        <v>-3102242679.90672</v>
      </c>
      <c r="O132" s="68">
        <f t="shared" si="41"/>
        <v>-3293603624.54919</v>
      </c>
      <c r="P132" s="68">
        <f t="shared" si="41"/>
        <v>-3485004955.6315</v>
      </c>
      <c r="Q132" s="68">
        <f t="shared" si="41"/>
        <v>-3677128264.98842</v>
      </c>
      <c r="R132" s="68">
        <f t="shared" si="41"/>
        <v>-3870596915.26669</v>
      </c>
      <c r="S132" s="68">
        <f t="shared" si="41"/>
        <v>-4065987590.91693</v>
      </c>
      <c r="T132" s="68">
        <f t="shared" si="41"/>
        <v>-4263840296.79981</v>
      </c>
      <c r="U132" s="68">
        <f t="shared" si="41"/>
        <v>-4464667048.80156</v>
      </c>
      <c r="V132" s="68">
        <f t="shared" si="41"/>
        <v>-4668959464.93244</v>
      </c>
      <c r="W132" s="68">
        <f t="shared" si="41"/>
        <v>-4877195434.89655</v>
      </c>
      <c r="X132" s="68">
        <f t="shared" si="41"/>
        <v>-5089845020.25911</v>
      </c>
      <c r="Y132" s="68">
        <f t="shared" si="41"/>
        <v>-5307375715.40749</v>
      </c>
      <c r="Z132" s="68">
        <f t="shared" si="41"/>
        <v>-5530257180.9196</v>
      </c>
    </row>
    <row r="133" ht="15" hidden="1" customHeight="1"/>
    <row r="134" ht="15" hidden="1" customHeight="1" spans="1:26">
      <c r="A134" s="67" t="s">
        <v>482</v>
      </c>
      <c r="C134" s="69">
        <f>$D$87*(1+$E$87)^0</f>
        <v>300</v>
      </c>
      <c r="D134" s="69">
        <f>$D$87*(1+$E$87)^1</f>
        <v>324</v>
      </c>
      <c r="E134" s="69">
        <f>$D$87*(1+$E$87)^2</f>
        <v>349.92</v>
      </c>
      <c r="F134" s="69">
        <f>$D$87*(1+$E$87)^3</f>
        <v>377.9136</v>
      </c>
      <c r="G134" s="69">
        <f>$D$87*(1+$E$87)^4</f>
        <v>408.146688</v>
      </c>
      <c r="H134" s="69">
        <f>$D$87*(1+$E$87)^5</f>
        <v>440.79842304</v>
      </c>
      <c r="I134" s="69">
        <f>$D$87*(1+$E$87)^6</f>
        <v>476.0622968832</v>
      </c>
      <c r="J134" s="69">
        <f>$D$87*(1+$E$87)^7</f>
        <v>514.147280633856</v>
      </c>
      <c r="K134" s="69">
        <f>$D$87*(1+$E$87)^8</f>
        <v>555.279063084565</v>
      </c>
      <c r="L134" s="69">
        <f>$D$87*(1+$E$87)^9</f>
        <v>599.70138813133</v>
      </c>
      <c r="M134" s="69">
        <f>$D$87*(1+$E$87)^10</f>
        <v>647.677499181836</v>
      </c>
      <c r="N134" s="69">
        <f>$D$87*(1+$E$87)^11</f>
        <v>699.491699116383</v>
      </c>
      <c r="O134" s="69">
        <f>$D$87*(1+$E$87)^12</f>
        <v>755.451035045694</v>
      </c>
      <c r="P134" s="69">
        <f>$D$87*(1+$E$87)^13</f>
        <v>815.88711784935</v>
      </c>
      <c r="Q134" s="69">
        <f>$D$87*(1+$E$87)^14</f>
        <v>881.158087277298</v>
      </c>
      <c r="R134" s="69">
        <f>$D$87*(1+$E$87)^15</f>
        <v>951.650734259482</v>
      </c>
      <c r="S134" s="69">
        <f>$D$87*(1+$E$87)^16</f>
        <v>1027.78279300024</v>
      </c>
      <c r="T134" s="69">
        <f>$D$87*(1+$E$87)^17</f>
        <v>1110.00541644026</v>
      </c>
      <c r="U134" s="69">
        <f>$D$87*(1+$E$87)^18</f>
        <v>1198.80584975548</v>
      </c>
      <c r="V134" s="69">
        <f>$D$87*(1+$E$87)^19</f>
        <v>1294.71031773592</v>
      </c>
      <c r="W134" s="69">
        <f>$D$87*(1+$E$87)^20</f>
        <v>1398.28714315479</v>
      </c>
      <c r="X134" s="69">
        <f>$D$87*(1+$E$87)^21</f>
        <v>1510.15011460718</v>
      </c>
      <c r="Y134" s="69">
        <f>$D$87*(1+$E$87)^22</f>
        <v>1630.96212377575</v>
      </c>
      <c r="Z134" s="69">
        <f>$D$87*(1+$E$87)^23</f>
        <v>1761.43909367781</v>
      </c>
    </row>
    <row r="135" ht="15" hidden="1" customHeight="1" spans="1:26">
      <c r="A135" s="67" t="s">
        <v>483</v>
      </c>
      <c r="B135" s="67">
        <v>0</v>
      </c>
      <c r="C135" s="69">
        <f t="shared" ref="C135:Z135" si="42">B135*(1-$F$87)+C134</f>
        <v>300</v>
      </c>
      <c r="D135" s="69">
        <f t="shared" si="42"/>
        <v>579</v>
      </c>
      <c r="E135" s="69">
        <f t="shared" si="42"/>
        <v>842.07</v>
      </c>
      <c r="F135" s="69">
        <f t="shared" si="42"/>
        <v>1093.6731</v>
      </c>
      <c r="G135" s="69">
        <f t="shared" si="42"/>
        <v>1337.768823</v>
      </c>
      <c r="H135" s="69">
        <f t="shared" si="42"/>
        <v>1577.90192259</v>
      </c>
      <c r="I135" s="69">
        <f t="shared" si="42"/>
        <v>1817.2789310847</v>
      </c>
      <c r="J135" s="69">
        <f t="shared" si="42"/>
        <v>2058.83437205585</v>
      </c>
      <c r="K135" s="69">
        <f t="shared" si="42"/>
        <v>2305.28827933204</v>
      </c>
      <c r="L135" s="69">
        <f t="shared" si="42"/>
        <v>2559.19642556356</v>
      </c>
      <c r="M135" s="69">
        <f t="shared" si="42"/>
        <v>2822.99446091086</v>
      </c>
      <c r="N135" s="69">
        <f t="shared" si="42"/>
        <v>3099.03699089062</v>
      </c>
      <c r="O135" s="69">
        <f t="shared" si="42"/>
        <v>3389.63247730272</v>
      </c>
      <c r="P135" s="69">
        <f t="shared" si="42"/>
        <v>3697.07472355666</v>
      </c>
      <c r="Q135" s="69">
        <f t="shared" si="42"/>
        <v>4023.67160230046</v>
      </c>
      <c r="R135" s="69">
        <f t="shared" si="42"/>
        <v>4371.77159621487</v>
      </c>
      <c r="S135" s="69">
        <f t="shared" si="42"/>
        <v>4743.78864978288</v>
      </c>
      <c r="T135" s="69">
        <f t="shared" si="42"/>
        <v>5142.22576875571</v>
      </c>
      <c r="U135" s="69">
        <f t="shared" si="42"/>
        <v>5569.69775319783</v>
      </c>
      <c r="V135" s="69">
        <f t="shared" si="42"/>
        <v>6028.95340795408</v>
      </c>
      <c r="W135" s="69">
        <f t="shared" si="42"/>
        <v>6522.89753991576</v>
      </c>
      <c r="X135" s="69">
        <f t="shared" si="42"/>
        <v>7054.61302353557</v>
      </c>
      <c r="Y135" s="69">
        <f t="shared" si="42"/>
        <v>7627.38319378098</v>
      </c>
      <c r="Z135" s="69">
        <f t="shared" si="42"/>
        <v>8244.71480839165</v>
      </c>
    </row>
    <row r="136" ht="15" hidden="1" customHeight="1" spans="1:26">
      <c r="A136" s="67" t="s">
        <v>484</v>
      </c>
      <c r="B136" s="68">
        <f>-$I$87</f>
        <v>-400000000</v>
      </c>
      <c r="C136" s="68">
        <f t="shared" ref="C136:Z136" si="43">C135*($B$87-$C$87)-C134*$G$87-$H$87</f>
        <v>-316559897.952</v>
      </c>
      <c r="D136" s="68">
        <f t="shared" si="43"/>
        <v>-298540603.04736</v>
      </c>
      <c r="E136" s="68">
        <f t="shared" si="43"/>
        <v>-283853377.561469</v>
      </c>
      <c r="F136" s="68">
        <f t="shared" si="43"/>
        <v>-272048745.096158</v>
      </c>
      <c r="G136" s="68">
        <f t="shared" si="43"/>
        <v>-262748677.434157</v>
      </c>
      <c r="H136" s="68">
        <f t="shared" si="43"/>
        <v>-255636199.44965</v>
      </c>
      <c r="I136" s="68">
        <f t="shared" si="43"/>
        <v>-250446579.053268</v>
      </c>
      <c r="J136" s="68">
        <f t="shared" si="43"/>
        <v>-246959866.478029</v>
      </c>
      <c r="K136" s="68">
        <f t="shared" si="43"/>
        <v>-244994582.731696</v>
      </c>
      <c r="L136" s="68">
        <f t="shared" si="43"/>
        <v>-244402387.245342</v>
      </c>
      <c r="M136" s="68">
        <f t="shared" si="43"/>
        <v>-245063580.435814</v>
      </c>
      <c r="N136" s="68">
        <f t="shared" si="43"/>
        <v>-246883318.749896</v>
      </c>
      <c r="O136" s="68">
        <f t="shared" si="43"/>
        <v>-249788438.347223</v>
      </c>
      <c r="P136" s="68">
        <f t="shared" si="43"/>
        <v>-253724799.397735</v>
      </c>
      <c r="Q136" s="68">
        <f t="shared" si="43"/>
        <v>-258655076.434879</v>
      </c>
      <c r="R136" s="68">
        <f t="shared" si="43"/>
        <v>-264556931.672195</v>
      </c>
      <c r="S136" s="68">
        <f t="shared" si="43"/>
        <v>-271421517.960117</v>
      </c>
      <c r="T136" s="68">
        <f t="shared" si="43"/>
        <v>-279252266.387952</v>
      </c>
      <c r="U136" s="68">
        <f t="shared" si="43"/>
        <v>-288063920.641359</v>
      </c>
      <c r="V136" s="68">
        <f t="shared" si="43"/>
        <v>-297881786.293683</v>
      </c>
      <c r="W136" s="68">
        <f t="shared" si="43"/>
        <v>-308741168.398041</v>
      </c>
      <c r="X136" s="68">
        <f t="shared" si="43"/>
        <v>-320686975.190618</v>
      </c>
      <c r="Y136" s="68">
        <f t="shared" si="43"/>
        <v>-333773469.528491</v>
      </c>
      <c r="Z136" s="68">
        <f t="shared" si="43"/>
        <v>-348064152.965</v>
      </c>
    </row>
    <row r="137" ht="15" hidden="1" customHeight="1" spans="1:26">
      <c r="A137" s="67" t="s">
        <v>485</v>
      </c>
      <c r="B137" s="68">
        <f>$J$87+B136</f>
        <v>1100000000</v>
      </c>
      <c r="C137" s="68">
        <f t="shared" ref="C137:Z137" si="44">B137+C136</f>
        <v>783440102.048</v>
      </c>
      <c r="D137" s="68">
        <f t="shared" si="44"/>
        <v>484899499.00064</v>
      </c>
      <c r="E137" s="68">
        <f t="shared" si="44"/>
        <v>201046121.439171</v>
      </c>
      <c r="F137" s="68">
        <f t="shared" si="44"/>
        <v>-71002623.6569872</v>
      </c>
      <c r="G137" s="68">
        <f t="shared" si="44"/>
        <v>-333751301.091145</v>
      </c>
      <c r="H137" s="68">
        <f t="shared" si="44"/>
        <v>-589387500.540795</v>
      </c>
      <c r="I137" s="68">
        <f t="shared" si="44"/>
        <v>-839834079.594063</v>
      </c>
      <c r="J137" s="68">
        <f t="shared" si="44"/>
        <v>-1086793946.07209</v>
      </c>
      <c r="K137" s="68">
        <f t="shared" si="44"/>
        <v>-1331788528.80379</v>
      </c>
      <c r="L137" s="68">
        <f t="shared" si="44"/>
        <v>-1576190916.04913</v>
      </c>
      <c r="M137" s="68">
        <f t="shared" si="44"/>
        <v>-1821254496.48494</v>
      </c>
      <c r="N137" s="68">
        <f t="shared" si="44"/>
        <v>-2068137815.23484</v>
      </c>
      <c r="O137" s="68">
        <f t="shared" si="44"/>
        <v>-2317926253.58206</v>
      </c>
      <c r="P137" s="68">
        <f t="shared" si="44"/>
        <v>-2571651052.9798</v>
      </c>
      <c r="Q137" s="68">
        <f t="shared" si="44"/>
        <v>-2830306129.41468</v>
      </c>
      <c r="R137" s="68">
        <f t="shared" si="44"/>
        <v>-3094863061.08687</v>
      </c>
      <c r="S137" s="68">
        <f t="shared" si="44"/>
        <v>-3366284579.04699</v>
      </c>
      <c r="T137" s="68">
        <f t="shared" si="44"/>
        <v>-3645536845.43494</v>
      </c>
      <c r="U137" s="68">
        <f t="shared" si="44"/>
        <v>-3933600766.0763</v>
      </c>
      <c r="V137" s="68">
        <f t="shared" si="44"/>
        <v>-4231482552.36998</v>
      </c>
      <c r="W137" s="68">
        <f t="shared" si="44"/>
        <v>-4540223720.76802</v>
      </c>
      <c r="X137" s="68">
        <f t="shared" si="44"/>
        <v>-4860910695.95864</v>
      </c>
      <c r="Y137" s="68">
        <f t="shared" si="44"/>
        <v>-5194684165.48713</v>
      </c>
      <c r="Z137" s="68">
        <f t="shared" si="44"/>
        <v>-5542748318.45213</v>
      </c>
    </row>
    <row r="138" ht="15" hidden="1" customHeight="1" spans="1:26">
      <c r="A138" s="67" t="s">
        <v>486</v>
      </c>
      <c r="B138" s="68">
        <f>B136</f>
        <v>-400000000</v>
      </c>
      <c r="C138" s="68">
        <f t="shared" ref="C138:Z138" si="45">B138+C136</f>
        <v>-716559897.952</v>
      </c>
      <c r="D138" s="68">
        <f t="shared" si="45"/>
        <v>-1015100500.99936</v>
      </c>
      <c r="E138" s="68">
        <f t="shared" si="45"/>
        <v>-1298953878.56083</v>
      </c>
      <c r="F138" s="68">
        <f t="shared" si="45"/>
        <v>-1571002623.65699</v>
      </c>
      <c r="G138" s="68">
        <f t="shared" si="45"/>
        <v>-1833751301.09114</v>
      </c>
      <c r="H138" s="68">
        <f t="shared" si="45"/>
        <v>-2089387500.54079</v>
      </c>
      <c r="I138" s="68">
        <f t="shared" si="45"/>
        <v>-2339834079.59406</v>
      </c>
      <c r="J138" s="68">
        <f t="shared" si="45"/>
        <v>-2586793946.07209</v>
      </c>
      <c r="K138" s="68">
        <f t="shared" si="45"/>
        <v>-2831788528.80379</v>
      </c>
      <c r="L138" s="68">
        <f t="shared" si="45"/>
        <v>-3076190916.04913</v>
      </c>
      <c r="M138" s="68">
        <f t="shared" si="45"/>
        <v>-3321254496.48494</v>
      </c>
      <c r="N138" s="68">
        <f t="shared" si="45"/>
        <v>-3568137815.23484</v>
      </c>
      <c r="O138" s="68">
        <f t="shared" si="45"/>
        <v>-3817926253.58206</v>
      </c>
      <c r="P138" s="68">
        <f t="shared" si="45"/>
        <v>-4071651052.9798</v>
      </c>
      <c r="Q138" s="68">
        <f t="shared" si="45"/>
        <v>-4330306129.41468</v>
      </c>
      <c r="R138" s="68">
        <f t="shared" si="45"/>
        <v>-4594863061.08687</v>
      </c>
      <c r="S138" s="68">
        <f t="shared" si="45"/>
        <v>-4866284579.04699</v>
      </c>
      <c r="T138" s="68">
        <f t="shared" si="45"/>
        <v>-5145536845.43494</v>
      </c>
      <c r="U138" s="68">
        <f t="shared" si="45"/>
        <v>-5433600766.0763</v>
      </c>
      <c r="V138" s="68">
        <f t="shared" si="45"/>
        <v>-5731482552.36998</v>
      </c>
      <c r="W138" s="68">
        <f t="shared" si="45"/>
        <v>-6040223720.76802</v>
      </c>
      <c r="X138" s="68">
        <f t="shared" si="45"/>
        <v>-6360910695.95864</v>
      </c>
      <c r="Y138" s="68">
        <f t="shared" si="45"/>
        <v>-6694684165.48713</v>
      </c>
      <c r="Z138" s="68">
        <f t="shared" si="45"/>
        <v>-7042748318.45213</v>
      </c>
    </row>
    <row r="139" ht="15" hidden="1" customHeight="1"/>
    <row r="140" ht="15" hidden="1" customHeight="1" spans="1:26">
      <c r="A140" s="67" t="s">
        <v>487</v>
      </c>
      <c r="C140" s="69">
        <f>$D$88*(1+$E$88)^0</f>
        <v>300</v>
      </c>
      <c r="D140" s="69">
        <f>$D$88*(1+$E$88)^1</f>
        <v>324</v>
      </c>
      <c r="E140" s="69">
        <f>$D$88*(1+$E$88)^2</f>
        <v>349.92</v>
      </c>
      <c r="F140" s="69">
        <f>$D$88*(1+$E$88)^3</f>
        <v>377.9136</v>
      </c>
      <c r="G140" s="69">
        <f>$D$88*(1+$E$88)^4</f>
        <v>408.146688</v>
      </c>
      <c r="H140" s="69">
        <f>$D$88*(1+$E$88)^5</f>
        <v>440.79842304</v>
      </c>
      <c r="I140" s="69">
        <f>$D$88*(1+$E$88)^6</f>
        <v>476.0622968832</v>
      </c>
      <c r="J140" s="69">
        <f>$D$88*(1+$E$88)^7</f>
        <v>514.147280633856</v>
      </c>
      <c r="K140" s="69">
        <f>$D$88*(1+$E$88)^8</f>
        <v>555.279063084565</v>
      </c>
      <c r="L140" s="69">
        <f>$D$88*(1+$E$88)^9</f>
        <v>599.70138813133</v>
      </c>
      <c r="M140" s="69">
        <f>$D$88*(1+$E$88)^10</f>
        <v>647.677499181836</v>
      </c>
      <c r="N140" s="69">
        <f>$D$88*(1+$E$88)^11</f>
        <v>699.491699116383</v>
      </c>
      <c r="O140" s="69">
        <f>$D$88*(1+$E$88)^12</f>
        <v>755.451035045694</v>
      </c>
      <c r="P140" s="69">
        <f>$D$88*(1+$E$88)^13</f>
        <v>815.88711784935</v>
      </c>
      <c r="Q140" s="69">
        <f>$D$88*(1+$E$88)^14</f>
        <v>881.158087277298</v>
      </c>
      <c r="R140" s="69">
        <f>$D$88*(1+$E$88)^15</f>
        <v>951.650734259482</v>
      </c>
      <c r="S140" s="69">
        <f>$D$88*(1+$E$88)^16</f>
        <v>1027.78279300024</v>
      </c>
      <c r="T140" s="69">
        <f>$D$88*(1+$E$88)^17</f>
        <v>1110.00541644026</v>
      </c>
      <c r="U140" s="69">
        <f>$D$88*(1+$E$88)^18</f>
        <v>1198.80584975548</v>
      </c>
      <c r="V140" s="69">
        <f>$D$88*(1+$E$88)^19</f>
        <v>1294.71031773592</v>
      </c>
      <c r="W140" s="69">
        <f>$D$88*(1+$E$88)^20</f>
        <v>1398.28714315479</v>
      </c>
      <c r="X140" s="69">
        <f>$D$88*(1+$E$88)^21</f>
        <v>1510.15011460718</v>
      </c>
      <c r="Y140" s="69">
        <f>$D$88*(1+$E$88)^22</f>
        <v>1630.96212377575</v>
      </c>
      <c r="Z140" s="69">
        <f>$D$88*(1+$E$88)^23</f>
        <v>1761.43909367781</v>
      </c>
    </row>
    <row r="141" ht="15" hidden="1" customHeight="1" spans="1:26">
      <c r="A141" s="67" t="s">
        <v>488</v>
      </c>
      <c r="B141" s="67">
        <v>0</v>
      </c>
      <c r="C141" s="69">
        <f t="shared" ref="C141:Z141" si="46">B141*(1-$F$88)+C140</f>
        <v>300</v>
      </c>
      <c r="D141" s="69">
        <f t="shared" si="46"/>
        <v>579</v>
      </c>
      <c r="E141" s="69">
        <f t="shared" si="46"/>
        <v>842.07</v>
      </c>
      <c r="F141" s="69">
        <f t="shared" si="46"/>
        <v>1093.6731</v>
      </c>
      <c r="G141" s="69">
        <f t="shared" si="46"/>
        <v>1337.768823</v>
      </c>
      <c r="H141" s="69">
        <f t="shared" si="46"/>
        <v>1577.90192259</v>
      </c>
      <c r="I141" s="69">
        <f t="shared" si="46"/>
        <v>1817.2789310847</v>
      </c>
      <c r="J141" s="69">
        <f t="shared" si="46"/>
        <v>2058.83437205585</v>
      </c>
      <c r="K141" s="69">
        <f t="shared" si="46"/>
        <v>2305.28827933204</v>
      </c>
      <c r="L141" s="69">
        <f t="shared" si="46"/>
        <v>2559.19642556356</v>
      </c>
      <c r="M141" s="69">
        <f t="shared" si="46"/>
        <v>2822.99446091086</v>
      </c>
      <c r="N141" s="69">
        <f t="shared" si="46"/>
        <v>3099.03699089062</v>
      </c>
      <c r="O141" s="69">
        <f t="shared" si="46"/>
        <v>3389.63247730272</v>
      </c>
      <c r="P141" s="69">
        <f t="shared" si="46"/>
        <v>3697.07472355666</v>
      </c>
      <c r="Q141" s="69">
        <f t="shared" si="46"/>
        <v>4023.67160230046</v>
      </c>
      <c r="R141" s="69">
        <f t="shared" si="46"/>
        <v>4371.77159621487</v>
      </c>
      <c r="S141" s="69">
        <f t="shared" si="46"/>
        <v>4743.78864978288</v>
      </c>
      <c r="T141" s="69">
        <f t="shared" si="46"/>
        <v>5142.22576875571</v>
      </c>
      <c r="U141" s="69">
        <f t="shared" si="46"/>
        <v>5569.69775319783</v>
      </c>
      <c r="V141" s="69">
        <f t="shared" si="46"/>
        <v>6028.95340795408</v>
      </c>
      <c r="W141" s="69">
        <f t="shared" si="46"/>
        <v>6522.89753991576</v>
      </c>
      <c r="X141" s="69">
        <f t="shared" si="46"/>
        <v>7054.61302353557</v>
      </c>
      <c r="Y141" s="69">
        <f t="shared" si="46"/>
        <v>7627.38319378098</v>
      </c>
      <c r="Z141" s="69">
        <f t="shared" si="46"/>
        <v>8244.71480839165</v>
      </c>
    </row>
    <row r="142" ht="15" hidden="1" customHeight="1" spans="1:26">
      <c r="A142" s="67" t="s">
        <v>489</v>
      </c>
      <c r="B142" s="68">
        <f>-$I$88</f>
        <v>-400000000</v>
      </c>
      <c r="C142" s="68">
        <f t="shared" ref="C142:Z142" si="47">C141*($B$88-$C$88)-C140*$G$88-$H$88</f>
        <v>-302176552.32</v>
      </c>
      <c r="D142" s="68">
        <f t="shared" si="47"/>
        <v>-293100745.9776</v>
      </c>
      <c r="E142" s="68">
        <f t="shared" si="47"/>
        <v>-286846364.707008</v>
      </c>
      <c r="F142" s="68">
        <f t="shared" si="47"/>
        <v>-283106999.077089</v>
      </c>
      <c r="G142" s="68">
        <f t="shared" si="47"/>
        <v>-281631545.417748</v>
      </c>
      <c r="H142" s="68">
        <f t="shared" si="47"/>
        <v>-282216657.503486</v>
      </c>
      <c r="I142" s="68">
        <f t="shared" si="47"/>
        <v>-284700390.288235</v>
      </c>
      <c r="J142" s="68">
        <f t="shared" si="47"/>
        <v>-288956861.668094</v>
      </c>
      <c r="K142" s="68">
        <f t="shared" si="47"/>
        <v>-294891784.734821</v>
      </c>
      <c r="L142" s="68">
        <f t="shared" si="47"/>
        <v>-302438745.526895</v>
      </c>
      <c r="M142" s="68">
        <f t="shared" si="47"/>
        <v>-311556120.480341</v>
      </c>
      <c r="N142" s="68">
        <f t="shared" si="47"/>
        <v>-322224544.133369</v>
      </c>
      <c r="O142" s="68">
        <f t="shared" si="47"/>
        <v>-334444851.576449</v>
      </c>
      <c r="P142" s="68">
        <f t="shared" si="47"/>
        <v>-348236432.028114</v>
      </c>
      <c r="Q142" s="68">
        <f t="shared" si="47"/>
        <v>-363635940.06708</v>
      </c>
      <c r="R142" s="68">
        <f t="shared" si="47"/>
        <v>-380696319.727655</v>
      </c>
      <c r="S142" s="68">
        <f t="shared" si="47"/>
        <v>-399486104.092795</v>
      </c>
      <c r="T142" s="68">
        <f t="shared" si="47"/>
        <v>-420088959.389108</v>
      </c>
      <c r="U142" s="68">
        <f t="shared" si="47"/>
        <v>-442603448.063791</v>
      </c>
      <c r="V142" s="68">
        <f t="shared" si="47"/>
        <v>-467142990.043917</v>
      </c>
      <c r="W142" s="68">
        <f t="shared" si="47"/>
        <v>-493836005.462199</v>
      </c>
      <c r="X142" s="68">
        <f t="shared" si="47"/>
        <v>-522826225.681728</v>
      </c>
      <c r="Y142" s="68">
        <f t="shared" si="47"/>
        <v>-554273162.551437</v>
      </c>
      <c r="Z142" s="68">
        <f t="shared" si="47"/>
        <v>-588352728.548446</v>
      </c>
    </row>
    <row r="143" ht="15" hidden="1" customHeight="1" spans="1:26">
      <c r="A143" s="67" t="s">
        <v>490</v>
      </c>
      <c r="B143" s="68">
        <f>$J$88+B142</f>
        <v>1100000000</v>
      </c>
      <c r="C143" s="68">
        <f t="shared" ref="C143:Z143" si="48">B143+C142</f>
        <v>797823447.68</v>
      </c>
      <c r="D143" s="68">
        <f t="shared" si="48"/>
        <v>504722701.7024</v>
      </c>
      <c r="E143" s="68">
        <f t="shared" si="48"/>
        <v>217876336.995392</v>
      </c>
      <c r="F143" s="68">
        <f t="shared" si="48"/>
        <v>-65230662.0816966</v>
      </c>
      <c r="G143" s="68">
        <f t="shared" si="48"/>
        <v>-346862207.499444</v>
      </c>
      <c r="H143" s="68">
        <f t="shared" si="48"/>
        <v>-629078865.00293</v>
      </c>
      <c r="I143" s="68">
        <f t="shared" si="48"/>
        <v>-913779255.291165</v>
      </c>
      <c r="J143" s="68">
        <f t="shared" si="48"/>
        <v>-1202736116.95926</v>
      </c>
      <c r="K143" s="68">
        <f t="shared" si="48"/>
        <v>-1497627901.69408</v>
      </c>
      <c r="L143" s="68">
        <f t="shared" si="48"/>
        <v>-1800066647.22098</v>
      </c>
      <c r="M143" s="68">
        <f t="shared" si="48"/>
        <v>-2111622767.70132</v>
      </c>
      <c r="N143" s="68">
        <f t="shared" si="48"/>
        <v>-2433847311.83469</v>
      </c>
      <c r="O143" s="68">
        <f t="shared" si="48"/>
        <v>-2768292163.41114</v>
      </c>
      <c r="P143" s="68">
        <f t="shared" si="48"/>
        <v>-3116528595.43925</v>
      </c>
      <c r="Q143" s="68">
        <f t="shared" si="48"/>
        <v>-3480164535.50633</v>
      </c>
      <c r="R143" s="68">
        <f t="shared" si="48"/>
        <v>-3860860855.23398</v>
      </c>
      <c r="S143" s="68">
        <f t="shared" si="48"/>
        <v>-4260346959.32678</v>
      </c>
      <c r="T143" s="68">
        <f t="shared" si="48"/>
        <v>-4680435918.71589</v>
      </c>
      <c r="U143" s="68">
        <f t="shared" si="48"/>
        <v>-5123039366.77968</v>
      </c>
      <c r="V143" s="68">
        <f t="shared" si="48"/>
        <v>-5590182356.8236</v>
      </c>
      <c r="W143" s="68">
        <f t="shared" si="48"/>
        <v>-6084018362.28579</v>
      </c>
      <c r="X143" s="68">
        <f t="shared" si="48"/>
        <v>-6606844587.96752</v>
      </c>
      <c r="Y143" s="68">
        <f t="shared" si="48"/>
        <v>-7161117750.51896</v>
      </c>
      <c r="Z143" s="68">
        <f t="shared" si="48"/>
        <v>-7749470479.06741</v>
      </c>
    </row>
    <row r="144" ht="15" hidden="1" customHeight="1" spans="1:26">
      <c r="A144" s="67" t="s">
        <v>491</v>
      </c>
      <c r="B144" s="68">
        <f>B142</f>
        <v>-400000000</v>
      </c>
      <c r="C144" s="68">
        <f t="shared" ref="C144:Z144" si="49">B144+C142</f>
        <v>-702176552.32</v>
      </c>
      <c r="D144" s="68">
        <f t="shared" si="49"/>
        <v>-995277298.2976</v>
      </c>
      <c r="E144" s="68">
        <f t="shared" si="49"/>
        <v>-1282123663.00461</v>
      </c>
      <c r="F144" s="68">
        <f t="shared" si="49"/>
        <v>-1565230662.0817</v>
      </c>
      <c r="G144" s="68">
        <f t="shared" si="49"/>
        <v>-1846862207.49944</v>
      </c>
      <c r="H144" s="68">
        <f t="shared" si="49"/>
        <v>-2129078865.00293</v>
      </c>
      <c r="I144" s="68">
        <f t="shared" si="49"/>
        <v>-2413779255.29117</v>
      </c>
      <c r="J144" s="68">
        <f t="shared" si="49"/>
        <v>-2702736116.95926</v>
      </c>
      <c r="K144" s="68">
        <f t="shared" si="49"/>
        <v>-2997627901.69408</v>
      </c>
      <c r="L144" s="68">
        <f t="shared" si="49"/>
        <v>-3300066647.22098</v>
      </c>
      <c r="M144" s="68">
        <f t="shared" si="49"/>
        <v>-3611622767.70132</v>
      </c>
      <c r="N144" s="68">
        <f t="shared" si="49"/>
        <v>-3933847311.83469</v>
      </c>
      <c r="O144" s="68">
        <f t="shared" si="49"/>
        <v>-4268292163.41114</v>
      </c>
      <c r="P144" s="68">
        <f t="shared" si="49"/>
        <v>-4616528595.43925</v>
      </c>
      <c r="Q144" s="68">
        <f t="shared" si="49"/>
        <v>-4980164535.50633</v>
      </c>
      <c r="R144" s="68">
        <f t="shared" si="49"/>
        <v>-5360860855.23398</v>
      </c>
      <c r="S144" s="68">
        <f t="shared" si="49"/>
        <v>-5760346959.32678</v>
      </c>
      <c r="T144" s="68">
        <f t="shared" si="49"/>
        <v>-6180435918.71589</v>
      </c>
      <c r="U144" s="68">
        <f t="shared" si="49"/>
        <v>-6623039366.77968</v>
      </c>
      <c r="V144" s="68">
        <f t="shared" si="49"/>
        <v>-7090182356.8236</v>
      </c>
      <c r="W144" s="68">
        <f t="shared" si="49"/>
        <v>-7584018362.2858</v>
      </c>
      <c r="X144" s="68">
        <f t="shared" si="49"/>
        <v>-8106844587.96752</v>
      </c>
      <c r="Y144" s="68">
        <f t="shared" si="49"/>
        <v>-8661117750.51896</v>
      </c>
      <c r="Z144" s="68">
        <f t="shared" si="49"/>
        <v>-9249470479.06741</v>
      </c>
    </row>
    <row r="145" ht="15" hidden="1" customHeight="1"/>
  </sheetData>
  <mergeCells count="7">
    <mergeCell ref="E71:H71"/>
    <mergeCell ref="E72:H72"/>
    <mergeCell ref="E73:H73"/>
    <mergeCell ref="E74:H74"/>
    <mergeCell ref="E75:H75"/>
    <mergeCell ref="E76:H76"/>
    <mergeCell ref="E77:H77"/>
  </mergeCells>
  <conditionalFormatting sqref="A58:H64">
    <cfRule type="expression" dxfId="0" priority="2">
      <formula>$H58=1</formula>
    </cfRule>
  </conditionalFormatting>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2"/>
  <sheetViews>
    <sheetView workbookViewId="0">
      <selection activeCell="A1" sqref="A1"/>
    </sheetView>
  </sheetViews>
  <sheetFormatPr defaultColWidth="8.67592592592593" defaultRowHeight="14.4" outlineLevelCol="6"/>
  <cols>
    <col min="1" max="1" width="48" style="1" customWidth="1"/>
    <col min="2" max="4" width="18" style="1" customWidth="1"/>
    <col min="5" max="5" width="15" style="1" customWidth="1"/>
    <col min="6" max="6" width="40" style="1" customWidth="1"/>
    <col min="7" max="7" width="52" style="1" customWidth="1"/>
  </cols>
  <sheetData>
    <row r="1" ht="17.25" customHeight="1" spans="1:7">
      <c r="A1" s="10" t="s">
        <v>492</v>
      </c>
    </row>
    <row r="2" ht="15" customHeight="1" spans="1:7">
      <c r="A2" s="11" t="s">
        <v>493</v>
      </c>
    </row>
    <row r="3" ht="15" customHeight="1" spans="1:7">
      <c r="A3" s="28" t="s">
        <v>494</v>
      </c>
    </row>
    <row r="4" ht="15" customHeight="1" spans="1:7">
      <c r="A4" s="4" t="s">
        <v>285</v>
      </c>
      <c r="B4" s="4" t="s">
        <v>286</v>
      </c>
      <c r="C4" s="4" t="s">
        <v>287</v>
      </c>
      <c r="D4" s="4" t="s">
        <v>288</v>
      </c>
      <c r="E4" s="4" t="s">
        <v>164</v>
      </c>
      <c r="F4" s="4" t="s">
        <v>165</v>
      </c>
      <c r="G4" s="4" t="s">
        <v>289</v>
      </c>
    </row>
    <row r="5" ht="15.75" customHeight="1" spans="1:7">
      <c r="A5" s="29" t="s">
        <v>495</v>
      </c>
      <c r="B5" s="30"/>
      <c r="C5" s="30"/>
      <c r="D5" s="30"/>
      <c r="E5" s="31" t="s">
        <v>496</v>
      </c>
      <c r="F5" s="32"/>
      <c r="G5" s="33" t="s">
        <v>497</v>
      </c>
    </row>
    <row r="6" ht="31.5" customHeight="1" spans="1:7">
      <c r="A6" s="34" t="s">
        <v>498</v>
      </c>
      <c r="B6" s="30"/>
      <c r="C6" s="30"/>
      <c r="D6" s="30"/>
      <c r="E6" s="31" t="s">
        <v>499</v>
      </c>
      <c r="F6" s="32"/>
      <c r="G6" s="33" t="s">
        <v>500</v>
      </c>
    </row>
    <row r="7" ht="30" customHeight="1" spans="1:7">
      <c r="A7" s="29" t="s">
        <v>501</v>
      </c>
      <c r="B7" s="35"/>
      <c r="C7" s="35"/>
      <c r="D7" s="35"/>
      <c r="E7" s="31" t="s">
        <v>189</v>
      </c>
      <c r="F7" s="32"/>
      <c r="G7" s="33" t="s">
        <v>502</v>
      </c>
    </row>
    <row r="8" ht="15.75" customHeight="1" spans="1:7">
      <c r="A8" s="29" t="s">
        <v>503</v>
      </c>
      <c r="B8" s="36"/>
      <c r="C8" s="36"/>
      <c r="D8" s="36"/>
      <c r="E8" s="31" t="s">
        <v>200</v>
      </c>
      <c r="F8" s="32"/>
      <c r="G8" s="33" t="s">
        <v>504</v>
      </c>
    </row>
    <row r="9" ht="15.75" customHeight="1" spans="1:7">
      <c r="A9" s="29" t="s">
        <v>505</v>
      </c>
      <c r="B9" s="36"/>
      <c r="C9" s="36"/>
      <c r="D9" s="36"/>
      <c r="E9" s="31" t="s">
        <v>239</v>
      </c>
      <c r="F9" s="32"/>
      <c r="G9" s="33" t="s">
        <v>506</v>
      </c>
    </row>
    <row r="10" ht="15.75" customHeight="1" spans="1:7">
      <c r="A10" s="29" t="s">
        <v>507</v>
      </c>
      <c r="B10" s="36"/>
      <c r="C10" s="36"/>
      <c r="D10" s="36"/>
      <c r="E10" s="31" t="s">
        <v>508</v>
      </c>
      <c r="F10" s="32"/>
      <c r="G10" s="33" t="s">
        <v>509</v>
      </c>
    </row>
    <row r="11" ht="15.75" customHeight="1" spans="1:7">
      <c r="A11" s="29" t="s">
        <v>510</v>
      </c>
      <c r="B11" s="36"/>
      <c r="C11" s="36"/>
      <c r="D11" s="36"/>
      <c r="E11" s="31" t="s">
        <v>508</v>
      </c>
      <c r="F11" s="32"/>
      <c r="G11" s="33" t="s">
        <v>511</v>
      </c>
    </row>
    <row r="12" ht="15.75" customHeight="1" spans="1:7">
      <c r="A12" s="29" t="s">
        <v>512</v>
      </c>
      <c r="B12" s="36"/>
      <c r="C12" s="36"/>
      <c r="D12" s="36"/>
      <c r="E12" s="31" t="s">
        <v>239</v>
      </c>
      <c r="F12" s="32"/>
      <c r="G12" s="33" t="s">
        <v>513</v>
      </c>
    </row>
    <row r="13" ht="15" customHeight="1" spans="1:7">
      <c r="A13" s="29" t="s">
        <v>313</v>
      </c>
      <c r="B13" s="35">
        <v>0.15</v>
      </c>
      <c r="C13" s="35">
        <v>0.15</v>
      </c>
      <c r="D13" s="35">
        <v>0.15</v>
      </c>
      <c r="E13" s="31" t="s">
        <v>189</v>
      </c>
      <c r="F13" s="32" t="s">
        <v>514</v>
      </c>
      <c r="G13" s="31"/>
    </row>
    <row r="15" ht="26.25" customHeight="1" spans="1:7">
      <c r="A15" s="4" t="s">
        <v>515</v>
      </c>
      <c r="B15" s="4" t="s">
        <v>286</v>
      </c>
      <c r="C15" s="4" t="s">
        <v>287</v>
      </c>
      <c r="D15" s="4" t="s">
        <v>288</v>
      </c>
      <c r="E15" s="4" t="s">
        <v>326</v>
      </c>
    </row>
    <row r="16" ht="15" customHeight="1" spans="1:7">
      <c r="A16" s="12" t="s">
        <v>516</v>
      </c>
      <c r="B16" s="23">
        <f>B5*B6*52/12*B7*B8+B9</f>
        <v>0</v>
      </c>
      <c r="C16" s="23">
        <f>C5*C6*52/12*C7*C8+C9</f>
        <v>0</v>
      </c>
      <c r="D16" s="23">
        <f>D5*D6*52/12*D7*D8+D9</f>
        <v>0</v>
      </c>
    </row>
    <row r="17" ht="15" customHeight="1" spans="1:5">
      <c r="A17" s="12" t="s">
        <v>517</v>
      </c>
      <c r="B17" s="23">
        <f>B16-B12</f>
        <v>0</v>
      </c>
      <c r="C17" s="23">
        <f>C16-C12</f>
        <v>0</v>
      </c>
      <c r="D17" s="23">
        <f>D16-D12</f>
        <v>0</v>
      </c>
      <c r="E17" s="1" t="s">
        <v>378</v>
      </c>
    </row>
    <row r="18" ht="15" customHeight="1" spans="1:5">
      <c r="A18" s="12" t="s">
        <v>518</v>
      </c>
      <c r="B18" s="23">
        <f>B10+B11</f>
        <v>0</v>
      </c>
      <c r="C18" s="23">
        <f>C10+C11</f>
        <v>0</v>
      </c>
      <c r="D18" s="23">
        <f>D10+D11</f>
        <v>0</v>
      </c>
    </row>
    <row r="19" ht="15" customHeight="1" spans="1:5">
      <c r="A19" s="12" t="s">
        <v>519</v>
      </c>
      <c r="B19" s="37" t="str">
        <f>IF(B5=0,"Chưa điền",IF(B17&gt;0,B18/B17,"Không hoàn vốn"))</f>
        <v>Chưa điền</v>
      </c>
      <c r="C19" s="37" t="str">
        <f>IF(C5=0,"Chưa điền",IF(C17&gt;0,C18/C17,"Không hoàn vốn"))</f>
        <v>Chưa điền</v>
      </c>
      <c r="D19" s="37" t="str">
        <f>IF(D5=0,"Chưa điền",IF(D17&gt;0,D18/D17,"Không hoàn vốn"))</f>
        <v>Chưa điền</v>
      </c>
      <c r="E19" s="1" t="s">
        <v>335</v>
      </c>
    </row>
    <row r="20" ht="15" customHeight="1" spans="1:5">
      <c r="A20" s="12" t="s">
        <v>520</v>
      </c>
      <c r="B20" s="19">
        <f>IFERROR((12*B17-B18)/B18,0)</f>
        <v>0</v>
      </c>
      <c r="C20" s="19">
        <f>IFERROR((12*C17-C18)/C18,0)</f>
        <v>0</v>
      </c>
      <c r="D20" s="19">
        <f>IFERROR((12*D17-D18)/D18,0)</f>
        <v>0</v>
      </c>
      <c r="E20" s="1" t="s">
        <v>378</v>
      </c>
    </row>
    <row r="21" ht="15" customHeight="1" spans="1:5">
      <c r="A21" s="12" t="s">
        <v>521</v>
      </c>
      <c r="B21" s="38">
        <f>PV(B13/12,24,-B17)-B18</f>
        <v>0</v>
      </c>
      <c r="C21" s="38">
        <f>PV(C13/12,24,-C17)-C18</f>
        <v>0</v>
      </c>
      <c r="D21" s="38">
        <f>PV(D13/12,24,-D17)-D18</f>
        <v>0</v>
      </c>
      <c r="E21" s="1" t="s">
        <v>378</v>
      </c>
    </row>
    <row r="22" ht="15" customHeight="1" spans="1:5">
      <c r="A22" s="12" t="s">
        <v>522</v>
      </c>
      <c r="B22" s="39" t="str">
        <f>IF(B5=0,"Chưa điền",IF(NOT(ISNUMBER(B19)),"Dừng",IF(B19&lt;12,"Làm","Thử nghiệm nhỏ")))</f>
        <v>Chưa điền</v>
      </c>
      <c r="C22" s="39" t="str">
        <f>IF(C5=0,"Chưa điền",IF(NOT(ISNUMBER(C19)),"Dừng",IF(C19&lt;12,"Làm","Thử nghiệm nhỏ")))</f>
        <v>Chưa điền</v>
      </c>
      <c r="D22" s="39" t="str">
        <f>IF(D5=0,"Chưa điền",IF(NOT(ISNUMBER(D19)),"Dừng",IF(D19&lt;12,"Làm","Thử nghiệm nhỏ")))</f>
        <v>Chưa điền</v>
      </c>
      <c r="E22" s="3" t="s">
        <v>523</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7"/>
  <sheetViews>
    <sheetView workbookViewId="0">
      <selection activeCell="A1" sqref="A1"/>
    </sheetView>
  </sheetViews>
  <sheetFormatPr defaultColWidth="8.67592592592593" defaultRowHeight="14.4" outlineLevelCol="2"/>
  <cols>
    <col min="1" max="1" width="60" style="1" customWidth="1"/>
    <col min="2" max="2" width="24" style="1" customWidth="1"/>
    <col min="3" max="3" width="26" style="1" customWidth="1"/>
  </cols>
  <sheetData>
    <row r="1" ht="17.25" customHeight="1" spans="1:3">
      <c r="A1" s="10" t="s">
        <v>524</v>
      </c>
    </row>
    <row r="2" ht="31.5" customHeight="1" spans="1:3">
      <c r="A2" s="18" t="s">
        <v>525</v>
      </c>
      <c r="B2" s="18"/>
      <c r="C2" s="18"/>
    </row>
    <row r="4" ht="15" customHeight="1" spans="1:3">
      <c r="A4" s="4" t="s">
        <v>526</v>
      </c>
      <c r="B4" s="4" t="s">
        <v>527</v>
      </c>
      <c r="C4" s="4" t="s">
        <v>528</v>
      </c>
    </row>
    <row r="5" ht="15" customHeight="1" spans="1:3">
      <c r="A5" s="12" t="s">
        <v>529</v>
      </c>
      <c r="B5" s="19">
        <f>'1_Chi phí mỗi việc'!B25</f>
        <v>4.92809529874872</v>
      </c>
      <c r="C5" s="16" t="str">
        <f>IF(B5&gt;=0.3,"Đạt","Xem lại")</f>
        <v>Đạt</v>
      </c>
    </row>
    <row r="6" ht="15" customHeight="1" spans="1:3">
      <c r="A6" s="12" t="s">
        <v>530</v>
      </c>
      <c r="B6" s="19">
        <f>'4_Chỉ số mỗi khách'!C7</f>
        <v>0.894626094336918</v>
      </c>
      <c r="C6" s="16" t="str">
        <f>IF(B6&gt;=0.6,"Đạt","Xem lại")</f>
        <v>Đạt</v>
      </c>
    </row>
    <row r="7" ht="15" customHeight="1" spans="1:3">
      <c r="A7" s="12" t="s">
        <v>531</v>
      </c>
      <c r="B7" s="20">
        <f>'4_Chỉ số mỗi khách'!C11</f>
        <v>1.18857466819048</v>
      </c>
      <c r="C7" s="16" t="str">
        <f>IF(B7&gt;3,"Đạt","Xem lại")</f>
        <v>Xem lại</v>
      </c>
    </row>
    <row r="8" ht="15" customHeight="1" spans="1:3">
      <c r="A8" s="12" t="s">
        <v>532</v>
      </c>
      <c r="B8" s="21">
        <f>'4_Chỉ số mỗi khách'!C12</f>
        <v>5.6089590709654</v>
      </c>
      <c r="C8" s="16" t="str">
        <f>IF(AND(B8&gt;0,B8&lt;12),"Đạt","Xem lại")</f>
        <v>Đạt</v>
      </c>
    </row>
    <row r="9" ht="15" customHeight="1" spans="1:3">
      <c r="A9" s="12" t="s">
        <v>533</v>
      </c>
      <c r="B9" s="16" t="str">
        <f>IF(AND('3_Giả định'!C9&gt;0,'3_Giả định'!C10&gt;0,'3_Giả định'!D9&gt;=1.5*'3_Giả định'!C9,'3_Giả định'!D10&gt;=1.5*'3_Giả định'!C10),"Có","Không")</f>
        <v>Có</v>
      </c>
      <c r="C9" s="16" t="str">
        <f>IF(B9="Có","Đạt","Xem lại")</f>
        <v>Đạt</v>
      </c>
    </row>
    <row r="10" ht="15" customHeight="1" spans="1:3">
      <c r="A10" s="12" t="s">
        <v>534</v>
      </c>
      <c r="B10" s="22">
        <f>'5_Dòng tiền &amp; hiệu quả'!D47</f>
        <v>5</v>
      </c>
      <c r="C10" s="16" t="str">
        <f>IF(B10="Chưa điền","Chưa điền",IF(ISNUMBER(B10),IF(B10&gt;=12,"Đạt","Cần kế hoạch cắt giảm"),"Đạt"))</f>
        <v>Cần kế hoạch cắt giảm</v>
      </c>
    </row>
    <row r="11" ht="15" customHeight="1" spans="1:3">
      <c r="A11" s="12" t="s">
        <v>535</v>
      </c>
      <c r="B11" s="23">
        <f>'5_Dòng tiền &amp; hiệu quả'!C44</f>
        <v>-5591201777.45053</v>
      </c>
      <c r="C11" s="16" t="str">
        <f>IF(B11&gt;0,"Đạt","Xem lại")</f>
        <v>Xem lại</v>
      </c>
    </row>
    <row r="12" ht="15" customHeight="1" spans="1:3">
      <c r="A12" s="12" t="s">
        <v>536</v>
      </c>
      <c r="B12" s="16" t="str">
        <f>'5_Dòng tiền &amp; hiệu quả'!B66</f>
        <v>Chi phí có một khách tăng</v>
      </c>
      <c r="C12" s="16" t="str">
        <f>IF(B12="Chưa đủ số liệu","Xem lại","Ghi vào câu 3")</f>
        <v>Ghi vào câu 3</v>
      </c>
    </row>
    <row r="13" ht="16.5" customHeight="1" spans="1:3">
      <c r="A13" s="24" t="s">
        <v>537</v>
      </c>
      <c r="B13" s="24"/>
      <c r="C13" s="24"/>
    </row>
    <row r="14" ht="48.75" customHeight="1" spans="1:3">
      <c r="A14" s="25" t="s">
        <v>538</v>
      </c>
      <c r="B14" s="25"/>
      <c r="C14" s="25"/>
    </row>
    <row r="15" ht="48" customHeight="1" spans="1:3">
      <c r="A15" s="26" t="s">
        <v>539</v>
      </c>
      <c r="B15" s="26"/>
      <c r="C15" s="26"/>
    </row>
    <row r="17" ht="18.75" customHeight="1" spans="1:3">
      <c r="A17" s="25" t="s">
        <v>540</v>
      </c>
      <c r="B17" s="25"/>
      <c r="C17" s="25"/>
    </row>
    <row r="18" ht="48" customHeight="1" spans="1:3">
      <c r="A18" s="26" t="s">
        <v>541</v>
      </c>
      <c r="B18" s="26"/>
      <c r="C18" s="26"/>
    </row>
    <row r="20" ht="18.75" customHeight="1" spans="1:3">
      <c r="A20" s="25" t="s">
        <v>542</v>
      </c>
      <c r="B20" s="25"/>
      <c r="C20" s="25"/>
    </row>
    <row r="21" ht="48" customHeight="1" spans="1:3">
      <c r="A21" s="26" t="s">
        <v>543</v>
      </c>
      <c r="B21" s="26"/>
      <c r="C21" s="26"/>
    </row>
    <row r="23" ht="63.75" customHeight="1" spans="1:3">
      <c r="A23" s="25" t="s">
        <v>544</v>
      </c>
      <c r="B23" s="25"/>
      <c r="C23" s="25"/>
    </row>
    <row r="24" ht="48" customHeight="1" spans="1:3">
      <c r="A24" s="26" t="s">
        <v>545</v>
      </c>
      <c r="B24" s="26"/>
      <c r="C24" s="26"/>
    </row>
    <row r="26" ht="33.75" customHeight="1" spans="1:3">
      <c r="A26" s="25" t="s">
        <v>546</v>
      </c>
      <c r="B26" s="25"/>
      <c r="C26" s="25"/>
    </row>
    <row r="27" ht="48" customHeight="1" spans="1:3">
      <c r="A27" s="27" t="s">
        <v>547</v>
      </c>
      <c r="B27" s="27"/>
      <c r="C27" s="27"/>
    </row>
  </sheetData>
  <mergeCells count="12">
    <mergeCell ref="A2:C2"/>
    <mergeCell ref="A13:C13"/>
    <mergeCell ref="A14:C14"/>
    <mergeCell ref="A15:C15"/>
    <mergeCell ref="A17:C17"/>
    <mergeCell ref="A18:C18"/>
    <mergeCell ref="A20:C20"/>
    <mergeCell ref="A21:C21"/>
    <mergeCell ref="A23:C23"/>
    <mergeCell ref="A24:C24"/>
    <mergeCell ref="A26:C26"/>
    <mergeCell ref="A27:C27"/>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2"/>
  <sheetViews>
    <sheetView workbookViewId="0">
      <selection activeCell="A1" sqref="A1"/>
    </sheetView>
  </sheetViews>
  <sheetFormatPr defaultColWidth="8.67592592592593" defaultRowHeight="14.4" outlineLevelCol="3"/>
  <cols>
    <col min="1" max="1" width="28" style="1" customWidth="1"/>
    <col min="2" max="2" width="30" style="1" customWidth="1"/>
    <col min="3" max="3" width="80" style="1" customWidth="1"/>
    <col min="4" max="4" width="40" style="1" customWidth="1"/>
  </cols>
  <sheetData>
    <row r="1" ht="17.25" customHeight="1" spans="1:4">
      <c r="A1" s="10" t="s">
        <v>548</v>
      </c>
    </row>
    <row r="2" ht="15" customHeight="1" spans="1:4">
      <c r="A2" s="11" t="s">
        <v>549</v>
      </c>
    </row>
    <row r="4" ht="15" customHeight="1" spans="1:4">
      <c r="A4" s="4" t="s">
        <v>550</v>
      </c>
      <c r="B4" s="4" t="s">
        <v>551</v>
      </c>
      <c r="C4" s="4" t="s">
        <v>552</v>
      </c>
      <c r="D4" s="4" t="s">
        <v>553</v>
      </c>
    </row>
    <row r="5" ht="15" customHeight="1" spans="1:4">
      <c r="A5" s="12" t="s">
        <v>554</v>
      </c>
      <c r="B5" s="1">
        <v>10</v>
      </c>
      <c r="C5" s="13" t="s">
        <v>555</v>
      </c>
      <c r="D5" s="14"/>
    </row>
    <row r="6" ht="15" customHeight="1" spans="1:4">
      <c r="A6" s="12" t="s">
        <v>556</v>
      </c>
      <c r="B6" s="1">
        <v>15</v>
      </c>
      <c r="C6" s="13" t="s">
        <v>557</v>
      </c>
      <c r="D6" s="14"/>
    </row>
    <row r="7" ht="15" customHeight="1" spans="1:4">
      <c r="A7" s="12" t="s">
        <v>558</v>
      </c>
      <c r="B7" s="1">
        <v>15</v>
      </c>
      <c r="C7" s="13" t="s">
        <v>559</v>
      </c>
      <c r="D7" s="14"/>
    </row>
    <row r="8" ht="15" customHeight="1" spans="1:4">
      <c r="A8" s="12" t="s">
        <v>560</v>
      </c>
      <c r="B8" s="1">
        <v>20</v>
      </c>
      <c r="C8" s="13" t="s">
        <v>561</v>
      </c>
      <c r="D8" s="14"/>
    </row>
    <row r="9" ht="15" customHeight="1" spans="1:4">
      <c r="A9" s="12" t="s">
        <v>562</v>
      </c>
      <c r="B9" s="1">
        <v>20</v>
      </c>
      <c r="C9" s="13" t="s">
        <v>563</v>
      </c>
      <c r="D9" s="14"/>
    </row>
    <row r="10" ht="15" customHeight="1" spans="1:4">
      <c r="A10" s="12" t="s">
        <v>564</v>
      </c>
      <c r="B10" s="1">
        <v>20</v>
      </c>
      <c r="C10" s="13" t="s">
        <v>565</v>
      </c>
      <c r="D10" s="14"/>
    </row>
    <row r="11" ht="15" customHeight="1" spans="1:4">
      <c r="A11" s="15" t="s">
        <v>566</v>
      </c>
      <c r="B11" s="1">
        <f>SUM(B5:B10)</f>
        <v>100</v>
      </c>
      <c r="D11" s="16">
        <f>SUM(D5:D10)</f>
        <v>0</v>
      </c>
    </row>
    <row r="12" ht="15" customHeight="1" spans="1:4">
      <c r="A12" s="15" t="s">
        <v>567</v>
      </c>
      <c r="B12" s="1" t="s">
        <v>568</v>
      </c>
      <c r="C12" s="1" t="s">
        <v>569</v>
      </c>
      <c r="D12" s="14"/>
    </row>
    <row r="15" ht="15" customHeight="1" spans="1:4">
      <c r="A15" s="2" t="s">
        <v>570</v>
      </c>
    </row>
    <row r="16" ht="15" customHeight="1" spans="1:4">
      <c r="A16" s="4" t="s">
        <v>550</v>
      </c>
      <c r="B16" s="4" t="s">
        <v>571</v>
      </c>
      <c r="C16" s="4" t="s">
        <v>572</v>
      </c>
      <c r="D16" s="4" t="s">
        <v>573</v>
      </c>
    </row>
    <row r="17" ht="45.75" customHeight="1" spans="1:4">
      <c r="A17" s="17" t="s">
        <v>574</v>
      </c>
      <c r="B17" s="8" t="s">
        <v>575</v>
      </c>
      <c r="C17" s="8" t="s">
        <v>576</v>
      </c>
      <c r="D17" s="8" t="s">
        <v>577</v>
      </c>
    </row>
    <row r="18" ht="45.75" customHeight="1" spans="1:4">
      <c r="A18" s="17" t="s">
        <v>578</v>
      </c>
      <c r="B18" s="8" t="s">
        <v>579</v>
      </c>
      <c r="C18" s="8" t="s">
        <v>580</v>
      </c>
      <c r="D18" s="8" t="s">
        <v>581</v>
      </c>
    </row>
    <row r="19" ht="45.75" customHeight="1" spans="1:4">
      <c r="A19" s="17" t="s">
        <v>582</v>
      </c>
      <c r="B19" s="8" t="s">
        <v>583</v>
      </c>
      <c r="C19" s="8" t="s">
        <v>584</v>
      </c>
      <c r="D19" s="8" t="s">
        <v>585</v>
      </c>
    </row>
    <row r="20" ht="45.75" customHeight="1" spans="1:4">
      <c r="A20" s="17" t="s">
        <v>586</v>
      </c>
      <c r="B20" s="8" t="s">
        <v>587</v>
      </c>
      <c r="C20" s="8" t="s">
        <v>588</v>
      </c>
      <c r="D20" s="8" t="s">
        <v>589</v>
      </c>
    </row>
    <row r="22" ht="15" customHeight="1" spans="1:4">
      <c r="A22" s="3" t="s">
        <v>590</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8"/>
  <sheetViews>
    <sheetView workbookViewId="0">
      <selection activeCell="A1" sqref="A1"/>
    </sheetView>
  </sheetViews>
  <sheetFormatPr defaultColWidth="8.67592592592593" defaultRowHeight="14.4" outlineLevelCol="4"/>
  <cols>
    <col min="1" max="1" width="44" style="1" customWidth="1"/>
    <col min="2" max="3" width="22" style="1" customWidth="1"/>
    <col min="4" max="4" width="70" style="1" customWidth="1"/>
    <col min="5" max="5" width="48" style="1" customWidth="1"/>
  </cols>
  <sheetData>
    <row r="1" ht="15" customHeight="1" spans="1:5">
      <c r="A1" s="2" t="s">
        <v>591</v>
      </c>
    </row>
    <row r="2" ht="15" customHeight="1" spans="1:5">
      <c r="A2" s="3" t="s">
        <v>592</v>
      </c>
    </row>
    <row r="4" ht="27.75" customHeight="1" spans="1:5">
      <c r="A4" s="4" t="s">
        <v>593</v>
      </c>
      <c r="B4" s="4" t="s">
        <v>594</v>
      </c>
      <c r="C4" s="4" t="s">
        <v>595</v>
      </c>
      <c r="D4" s="4" t="s">
        <v>596</v>
      </c>
      <c r="E4" s="4" t="s">
        <v>58</v>
      </c>
    </row>
    <row r="5" ht="15" customHeight="1" spans="1:5">
      <c r="A5" s="5" t="s">
        <v>597</v>
      </c>
      <c r="B5" s="6">
        <v>0.1</v>
      </c>
      <c r="C5" s="6">
        <v>0.5</v>
      </c>
      <c r="D5" s="5" t="s">
        <v>598</v>
      </c>
      <c r="E5" s="5" t="s">
        <v>599</v>
      </c>
    </row>
    <row r="6" ht="15" customHeight="1" spans="1:5">
      <c r="A6" s="5" t="s">
        <v>600</v>
      </c>
      <c r="B6" s="6">
        <v>2</v>
      </c>
      <c r="C6" s="6">
        <v>10</v>
      </c>
      <c r="D6" s="5" t="s">
        <v>601</v>
      </c>
      <c r="E6" s="5" t="s">
        <v>602</v>
      </c>
    </row>
    <row r="7" ht="15" customHeight="1" spans="1:5">
      <c r="A7" s="5" t="s">
        <v>603</v>
      </c>
      <c r="B7" s="6">
        <v>1</v>
      </c>
      <c r="C7" s="6">
        <v>5</v>
      </c>
      <c r="D7" s="5" t="s">
        <v>604</v>
      </c>
      <c r="E7" s="5"/>
    </row>
    <row r="8" ht="15" customHeight="1" spans="1:5">
      <c r="A8" s="5" t="s">
        <v>605</v>
      </c>
      <c r="B8" s="6">
        <v>2</v>
      </c>
      <c r="C8" s="6">
        <v>10</v>
      </c>
      <c r="D8" s="5" t="s">
        <v>604</v>
      </c>
      <c r="E8" s="5" t="s">
        <v>606</v>
      </c>
    </row>
    <row r="11" ht="15" customHeight="1" spans="1:5">
      <c r="A11" s="4" t="s">
        <v>607</v>
      </c>
      <c r="B11" s="4" t="s">
        <v>163</v>
      </c>
      <c r="C11" s="4" t="s">
        <v>164</v>
      </c>
      <c r="D11" s="4" t="s">
        <v>608</v>
      </c>
      <c r="E11" s="4" t="s">
        <v>58</v>
      </c>
    </row>
    <row r="12" ht="15" customHeight="1" spans="1:5">
      <c r="A12" s="5" t="s">
        <v>609</v>
      </c>
      <c r="B12" s="7">
        <v>26170</v>
      </c>
      <c r="C12" s="5" t="s">
        <v>186</v>
      </c>
      <c r="D12" s="5" t="s">
        <v>610</v>
      </c>
      <c r="E12" s="5" t="s">
        <v>611</v>
      </c>
    </row>
    <row r="13" ht="15" customHeight="1" spans="1:5">
      <c r="A13" s="5" t="s">
        <v>612</v>
      </c>
      <c r="B13" s="7">
        <v>25636</v>
      </c>
      <c r="C13" s="5" t="s">
        <v>186</v>
      </c>
      <c r="D13" s="5" t="s">
        <v>613</v>
      </c>
      <c r="E13" s="5" t="s">
        <v>614</v>
      </c>
    </row>
    <row r="14" ht="15" customHeight="1" spans="1:5">
      <c r="A14" s="5" t="s">
        <v>615</v>
      </c>
      <c r="B14" s="7">
        <v>5310000</v>
      </c>
      <c r="C14" s="5" t="s">
        <v>239</v>
      </c>
      <c r="D14" s="5" t="s">
        <v>616</v>
      </c>
      <c r="E14" s="5" t="s">
        <v>617</v>
      </c>
    </row>
    <row r="15" ht="15" customHeight="1" spans="1:5">
      <c r="A15" s="5" t="s">
        <v>618</v>
      </c>
      <c r="B15" s="7">
        <v>25500</v>
      </c>
      <c r="C15" s="5" t="s">
        <v>200</v>
      </c>
      <c r="D15" s="5" t="s">
        <v>616</v>
      </c>
      <c r="E15" s="5" t="s">
        <v>619</v>
      </c>
    </row>
    <row r="18" ht="15" customHeight="1" spans="1:5">
      <c r="A18" s="4" t="s">
        <v>620</v>
      </c>
      <c r="B18" s="4" t="s">
        <v>621</v>
      </c>
    </row>
    <row r="19" ht="48" customHeight="1" spans="1:5">
      <c r="A19" s="8" t="s">
        <v>622</v>
      </c>
      <c r="B19" s="9" t="s">
        <v>623</v>
      </c>
      <c r="C19" s="9"/>
      <c r="D19" s="9"/>
      <c r="E19" s="9"/>
    </row>
    <row r="20" ht="48" customHeight="1" spans="1:5">
      <c r="A20" s="8" t="s">
        <v>624</v>
      </c>
      <c r="B20" s="9" t="s">
        <v>625</v>
      </c>
      <c r="C20" s="9"/>
      <c r="D20" s="9"/>
      <c r="E20" s="9"/>
    </row>
    <row r="21" ht="48" customHeight="1" spans="1:5">
      <c r="A21" s="8" t="s">
        <v>626</v>
      </c>
      <c r="B21" s="9" t="s">
        <v>627</v>
      </c>
      <c r="C21" s="9"/>
      <c r="D21" s="9"/>
      <c r="E21" s="9"/>
    </row>
    <row r="23" ht="15" customHeight="1" spans="1:5">
      <c r="A23" s="4" t="s">
        <v>628</v>
      </c>
      <c r="B23" s="4" t="s">
        <v>629</v>
      </c>
    </row>
    <row r="24" ht="48" customHeight="1" spans="1:5">
      <c r="A24" s="8" t="s">
        <v>630</v>
      </c>
      <c r="B24" s="9" t="s">
        <v>631</v>
      </c>
      <c r="C24" s="9"/>
      <c r="D24" s="9"/>
      <c r="E24" s="9"/>
    </row>
    <row r="25" ht="48" customHeight="1" spans="1:5">
      <c r="A25" s="8" t="s">
        <v>632</v>
      </c>
      <c r="B25" s="9" t="s">
        <v>633</v>
      </c>
      <c r="C25" s="9"/>
      <c r="D25" s="9"/>
      <c r="E25" s="9"/>
    </row>
    <row r="26" ht="48" customHeight="1" spans="1:5">
      <c r="A26" s="8" t="s">
        <v>634</v>
      </c>
      <c r="B26" s="9" t="s">
        <v>635</v>
      </c>
      <c r="C26" s="9"/>
      <c r="D26" s="9"/>
      <c r="E26" s="9"/>
    </row>
    <row r="27" ht="48" customHeight="1" spans="1:5">
      <c r="A27" s="8" t="s">
        <v>636</v>
      </c>
      <c r="B27" s="9" t="s">
        <v>637</v>
      </c>
      <c r="C27" s="9"/>
      <c r="D27" s="9"/>
      <c r="E27" s="9"/>
    </row>
    <row r="28" ht="48" customHeight="1" spans="1:5">
      <c r="A28" s="8" t="s">
        <v>638</v>
      </c>
      <c r="B28" s="9" t="s">
        <v>639</v>
      </c>
      <c r="C28" s="9"/>
      <c r="D28" s="9"/>
      <c r="E28" s="9"/>
    </row>
  </sheetData>
  <mergeCells count="8">
    <mergeCell ref="B19:E19"/>
    <mergeCell ref="B20:E20"/>
    <mergeCell ref="B21:E21"/>
    <mergeCell ref="B24:E24"/>
    <mergeCell ref="B25:E25"/>
    <mergeCell ref="B26:E26"/>
    <mergeCell ref="B27:E27"/>
    <mergeCell ref="B28:E28"/>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12</vt:i4>
      </vt:variant>
    </vt:vector>
  </HeadingPairs>
  <TitlesOfParts>
    <vt:vector size="12" baseType="lpstr">
      <vt:lpstr>0_Hướng dẫn</vt:lpstr>
      <vt:lpstr>0_Đầu vào</vt:lpstr>
      <vt:lpstr>A_Tài chính căn bản</vt:lpstr>
      <vt:lpstr>1_Chi phí mỗi việc</vt:lpstr>
      <vt:lpstr>2_Định giá</vt:lpstr>
      <vt:lpstr>3_Giả định</vt:lpstr>
      <vt:lpstr>4_Chỉ số mỗi khách</vt:lpstr>
      <vt:lpstr>5_Dòng tiền &amp; hiệu quả</vt:lpstr>
      <vt:lpstr>6_Hiệu quả nội bộ</vt:lpstr>
      <vt:lpstr>7_Quyết định</vt:lpstr>
      <vt:lpstr>8_Thang điểm</vt:lpstr>
      <vt:lpstr>9_Số tham khảo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2026-10-12T17:15:43Z</dcterms:created>
  <dcterms:modified xsi:type="dcterms:W3CDTF">2026-10-12T17:21:46Z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F73FAD9C483946E2B10437D71C861F37_12</vt:lpwstr>
  </property>
  <property fmtid="{D5CDD505-2E9C-101B-9397-08002B2CF9AE}" pid="3" name="KSOProductBuildVer">
    <vt:lpwstr>1033-12.1.0.28485</vt:lpwstr>
  </property>
  <property fmtid="{D5CDD505-2E9C-101B-9397-08002B2CF9AE}" pid="4" name="CalculationRule">
    <vt:i4>0</vt:i4>
  </property>
</Properties>
</file>